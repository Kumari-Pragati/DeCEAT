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heet" sheetId="1" r:id="rId4"/>
    <sheet state="visible" name="SCI_SEI_CER_per_prompt" sheetId="2" r:id="rId5"/>
    <sheet state="visible" name="Relative_Improvement" sheetId="3" r:id="rId6"/>
    <sheet state="visible" name="Stability_Index" sheetId="4" r:id="rId7"/>
    <sheet state="visible" name="SCV_SCVE" sheetId="5" r:id="rId8"/>
    <sheet state="visible" name="SVI" sheetId="6" r:id="rId9"/>
    <sheet state="visible" name="GF_Score" sheetId="7" r:id="rId10"/>
  </sheets>
  <definedNames/>
  <calcPr/>
</workbook>
</file>

<file path=xl/sharedStrings.xml><?xml version="1.0" encoding="utf-8"?>
<sst xmlns="http://schemas.openxmlformats.org/spreadsheetml/2006/main" count="1687" uniqueCount="97">
  <si>
    <t>Models</t>
  </si>
  <si>
    <t>Prompts</t>
  </si>
  <si>
    <t>Runs</t>
  </si>
  <si>
    <t>Average Q %</t>
  </si>
  <si>
    <t>C</t>
  </si>
  <si>
    <t>E</t>
  </si>
  <si>
    <t>Time(S)</t>
  </si>
  <si>
    <t>SCI_g_per_run</t>
  </si>
  <si>
    <t>SEI_1_per_g</t>
  </si>
  <si>
    <t>CER_%_per_g</t>
  </si>
  <si>
    <t>SCV</t>
  </si>
  <si>
    <t>SCV_E</t>
  </si>
  <si>
    <t>SCI NORM</t>
  </si>
  <si>
    <t>Time(S)_NORM</t>
  </si>
  <si>
    <t>SVI</t>
  </si>
  <si>
    <t>ECO</t>
  </si>
  <si>
    <t>DeepSeek APᵥ₀ C mean</t>
  </si>
  <si>
    <t>DeepSeek APᵥ₃ C mean</t>
  </si>
  <si>
    <t>DeepSeek APᵥ₀ Q% Norm</t>
  </si>
  <si>
    <t>DeepSeek APᵥ₃ Q% Norm</t>
  </si>
  <si>
    <t>DeepSeek APᵥ₀ E HarmMean</t>
  </si>
  <si>
    <t>DeepSeek APᵥ₃ E HarmMean</t>
  </si>
  <si>
    <t>Model</t>
  </si>
  <si>
    <t>Metric</t>
  </si>
  <si>
    <t xml:space="preserve">Mean </t>
  </si>
  <si>
    <t xml:space="preserve">Std </t>
  </si>
  <si>
    <t>Stability_Index</t>
  </si>
  <si>
    <t>Std Norm</t>
  </si>
  <si>
    <t>Stability_Index Mean</t>
  </si>
  <si>
    <t xml:space="preserve">deepseek-coder-7b-instruct-v1.5 </t>
  </si>
  <si>
    <t>APV0</t>
  </si>
  <si>
    <t>Meta-Llama-3-8B-Instruct</t>
  </si>
  <si>
    <t>Llama APᵥ₀ C mean</t>
  </si>
  <si>
    <t>Llama APᵥ₃ C mean</t>
  </si>
  <si>
    <t>Llama APᵥ₀ Q% Norm</t>
  </si>
  <si>
    <t>Llama APᵥ₃ Q% Norm</t>
  </si>
  <si>
    <t>Llama APᵥ₀ E HarmMean</t>
  </si>
  <si>
    <t>Llama APᵥ₃ E HarmMean</t>
  </si>
  <si>
    <t>Mistral-7B-Instruct-v0.3</t>
  </si>
  <si>
    <t>Qwen2.5-1.5B-Instruct</t>
  </si>
  <si>
    <t>Phi-3.5-mini-instruct</t>
  </si>
  <si>
    <t>Mistral APᵥ₀ C mean</t>
  </si>
  <si>
    <t>Mistral APᵥ₃ C mean</t>
  </si>
  <si>
    <t>Mistral APᵥ₀ Q% Norm</t>
  </si>
  <si>
    <t>Mistral APᵥ₃ Q% Norm</t>
  </si>
  <si>
    <t>Mistral APᵥ₀ E HarmMean</t>
  </si>
  <si>
    <t>Mistral APᵥ₃ E HarmMean</t>
  </si>
  <si>
    <t>SCI</t>
  </si>
  <si>
    <t>SEI</t>
  </si>
  <si>
    <t>CER</t>
  </si>
  <si>
    <t>Qwen APᵥ₀ C mean</t>
  </si>
  <si>
    <t>Qwen APᵥ₃  C mean</t>
  </si>
  <si>
    <t>Qwen APᵥ₀ Q% Norm</t>
  </si>
  <si>
    <t>Qwen APᵥ₃  Q% Norm</t>
  </si>
  <si>
    <t>Qwen APᵥ₀ E HarmMean</t>
  </si>
  <si>
    <t>Qwen APᵥ₃  E HarmMean</t>
  </si>
  <si>
    <t>APᵥ₀</t>
  </si>
  <si>
    <t>APᵥ₁</t>
  </si>
  <si>
    <t>APᵥ₂</t>
  </si>
  <si>
    <t>Phi APᵥ₀ C mean</t>
  </si>
  <si>
    <t>Phi APᵥ₃ C mean</t>
  </si>
  <si>
    <t>Phi APᵥ₀ Q% Norm</t>
  </si>
  <si>
    <t>Phi APᵥ₃ Q% Norm</t>
  </si>
  <si>
    <t>Phi APᵥ₀ E HarmMean</t>
  </si>
  <si>
    <t>Phi APᵥ₃ E HarmMean</t>
  </si>
  <si>
    <t>APᵥ₃</t>
  </si>
  <si>
    <t>model</t>
  </si>
  <si>
    <t>ap_version</t>
  </si>
  <si>
    <t>SCV_mean</t>
  </si>
  <si>
    <t>SCV_median</t>
  </si>
  <si>
    <t>SCV_E_mean</t>
  </si>
  <si>
    <t>SCV_E_median</t>
  </si>
  <si>
    <t>SVI MEAN</t>
  </si>
  <si>
    <t>I_APV0 (gCO2/kWh)</t>
  </si>
  <si>
    <t>I_APV3 (gCO2/kWh)</t>
  </si>
  <si>
    <t>ΔSCI%</t>
  </si>
  <si>
    <t>ΔSEI%</t>
  </si>
  <si>
    <t>ΔEmission%</t>
  </si>
  <si>
    <t>GQI_APV0</t>
  </si>
  <si>
    <t>GQI_APV3</t>
  </si>
  <si>
    <t>APV1</t>
  </si>
  <si>
    <t>GF_0.3</t>
  </si>
  <si>
    <t>GF_0.6</t>
  </si>
  <si>
    <t>GF_0.9</t>
  </si>
  <si>
    <t>GF_1.2</t>
  </si>
  <si>
    <t>GF_1.5</t>
  </si>
  <si>
    <t>GF_1.8</t>
  </si>
  <si>
    <t>Mean_GF_Eco</t>
  </si>
  <si>
    <t>Mean_GF_Quality</t>
  </si>
  <si>
    <t>Llama-3-8B-Instruct</t>
  </si>
  <si>
    <t>𝛽 &lt; 1</t>
  </si>
  <si>
    <t>𝛽 &gt; 1</t>
  </si>
  <si>
    <t>APV2</t>
  </si>
  <si>
    <t>Mistral-7B-Instruct</t>
  </si>
  <si>
    <t>APV3</t>
  </si>
  <si>
    <t>Qwen-2.5-1.5B-Instruct</t>
  </si>
  <si>
    <t>Phi-3.5 Mini-Instruct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</si>
</sst>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"/>
  </numFmts>
  <fonts count="2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color theme="1"/>
      <name val="Arial"/>
    </font>
    <font>
      <sz val="11.0"/>
      <color rgb="FF434343"/>
      <name val="Roboto"/>
    </font>
    <font>
      <sz val="11.0"/>
      <color rgb="FF454545"/>
      <name val="Monospace"/>
    </font>
    <font>
      <color rgb="FF990000"/>
      <name val="Arial"/>
      <scheme val="minor"/>
    </font>
    <font/>
    <font>
      <b/>
      <sz val="11.0"/>
      <color theme="1"/>
      <name val="Arial"/>
      <scheme val="minor"/>
    </font>
    <font>
      <b/>
      <i/>
      <color theme="1"/>
      <name val="Arial"/>
    </font>
    <font>
      <i/>
      <color theme="1"/>
      <name val="Arial"/>
    </font>
    <font>
      <sz val="9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b/>
      <sz val="13.0"/>
      <color theme="0"/>
      <name val="Arial"/>
    </font>
    <font>
      <b/>
      <sz val="13.0"/>
      <color rgb="FFFFFFFF"/>
      <name val="Arial"/>
    </font>
    <font>
      <b/>
      <sz val="13.0"/>
      <color rgb="FFFFFFFF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b/>
      <sz val="12.0"/>
      <color theme="0"/>
      <name val="Arial"/>
      <scheme val="minor"/>
    </font>
    <font>
      <b/>
      <sz val="13.0"/>
      <color theme="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69138"/>
        <bgColor rgb="FFE69138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90000"/>
        <bgColor rgb="FF990000"/>
      </patternFill>
    </fill>
    <fill>
      <patternFill patternType="solid">
        <fgColor theme="4"/>
        <bgColor theme="4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rgb="FFA64D79"/>
        <bgColor rgb="FFA64D79"/>
      </patternFill>
    </fill>
    <fill>
      <patternFill patternType="solid">
        <fgColor rgb="FFA61C00"/>
        <bgColor rgb="FFA61C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6" fontId="6" numFmtId="0" xfId="0" applyAlignment="1" applyFont="1">
      <alignment readingOrder="0" vertical="bottom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7" numFmtId="0" xfId="0" applyAlignment="1" applyFill="1" applyFont="1">
      <alignment vertical="bottom"/>
    </xf>
    <xf borderId="0" fillId="9" fontId="6" numFmtId="0" xfId="0" applyAlignment="1" applyFont="1">
      <alignment horizontal="center" readingOrder="0"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5" numFmtId="9" xfId="0" applyAlignment="1" applyFont="1" applyNumberFormat="1">
      <alignment readingOrder="0"/>
    </xf>
    <xf borderId="0" fillId="11" fontId="9" numFmtId="0" xfId="0" applyAlignment="1" applyFill="1" applyFont="1">
      <alignment horizontal="right" shrinkToFit="0" vertical="bottom" wrapText="0"/>
    </xf>
    <xf borderId="0" fillId="0" fontId="8" numFmtId="0" xfId="0" applyAlignment="1" applyFont="1">
      <alignment horizontal="right" vertical="bottom"/>
    </xf>
    <xf borderId="0" fillId="0" fontId="5" numFmtId="0" xfId="0" applyFont="1"/>
    <xf borderId="0" fillId="0" fontId="5" numFmtId="2" xfId="0" applyFont="1" applyNumberFormat="1"/>
    <xf borderId="0" fillId="11" fontId="10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 readingOrder="0" vertical="bottom"/>
    </xf>
    <xf borderId="0" fillId="12" fontId="9" numFmtId="0" xfId="0" applyAlignment="1" applyFill="1" applyFont="1">
      <alignment horizontal="right" shrinkToFit="0" vertical="bottom" wrapText="0"/>
    </xf>
    <xf borderId="0" fillId="13" fontId="11" numFmtId="0" xfId="0" applyFill="1" applyFont="1"/>
    <xf borderId="1" fillId="13" fontId="6" numFmtId="0" xfId="0" applyAlignment="1" applyBorder="1" applyFont="1">
      <alignment horizontal="center" readingOrder="0" vertical="bottom"/>
    </xf>
    <xf borderId="2" fillId="0" fontId="12" numFmtId="0" xfId="0" applyBorder="1" applyFont="1"/>
    <xf borderId="3" fillId="0" fontId="12" numFmtId="0" xfId="0" applyBorder="1" applyFont="1"/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readingOrder="0" vertical="bottom"/>
    </xf>
    <xf borderId="3" fillId="0" fontId="14" numFmtId="0" xfId="0" applyAlignment="1" applyBorder="1" applyFont="1">
      <alignment readingOrder="0" vertical="bottom"/>
    </xf>
    <xf borderId="4" fillId="0" fontId="15" numFmtId="0" xfId="0" applyAlignment="1" applyBorder="1" applyFont="1">
      <alignment readingOrder="0" vertical="bottom"/>
    </xf>
    <xf borderId="0" fillId="0" fontId="8" numFmtId="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6" fontId="17" numFmtId="0" xfId="0" applyAlignment="1" applyFont="1">
      <alignment vertical="bottom"/>
    </xf>
    <xf borderId="0" fillId="6" fontId="18" numFmtId="0" xfId="0" applyAlignment="1" applyFont="1">
      <alignment readingOrder="0" vertical="bottom"/>
    </xf>
    <xf borderId="0" fillId="14" fontId="3" numFmtId="0" xfId="0" applyAlignment="1" applyFill="1" applyFont="1">
      <alignment horizontal="center" readingOrder="0"/>
    </xf>
    <xf borderId="0" fillId="15" fontId="7" numFmtId="0" xfId="0" applyAlignment="1" applyFill="1" applyFont="1">
      <alignment vertical="bottom"/>
    </xf>
    <xf borderId="0" fillId="15" fontId="6" numFmtId="0" xfId="0" applyAlignment="1" applyFont="1">
      <alignment horizontal="center" readingOrder="0" vertical="bottom"/>
    </xf>
    <xf borderId="0" fillId="0" fontId="8" numFmtId="2" xfId="0" applyAlignment="1" applyFont="1" applyNumberFormat="1">
      <alignment horizontal="right" vertical="bottom"/>
    </xf>
    <xf borderId="0" fillId="16" fontId="19" numFmtId="0" xfId="0" applyAlignment="1" applyFill="1" applyFont="1">
      <alignment vertical="bottom"/>
    </xf>
    <xf borderId="0" fillId="16" fontId="19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14" fontId="4" numFmtId="0" xfId="0" applyAlignment="1" applyFont="1">
      <alignment horizontal="center" readingOrder="0"/>
    </xf>
    <xf borderId="0" fillId="15" fontId="20" numFmtId="0" xfId="0" applyAlignment="1" applyFont="1">
      <alignment horizontal="center" readingOrder="0" vertical="bottom"/>
    </xf>
    <xf borderId="0" fillId="15" fontId="21" numFmtId="0" xfId="0" applyAlignment="1" applyFont="1">
      <alignment horizontal="center" readingOrder="0"/>
    </xf>
    <xf borderId="0" fillId="16" fontId="7" numFmtId="0" xfId="0" applyAlignment="1" applyFont="1">
      <alignment vertical="bottom"/>
    </xf>
    <xf borderId="0" fillId="10" fontId="20" numFmtId="0" xfId="0" applyAlignment="1" applyFont="1">
      <alignment horizontal="center" readingOrder="0" vertical="bottom"/>
    </xf>
    <xf borderId="0" fillId="17" fontId="17" numFmtId="0" xfId="0" applyAlignment="1" applyFill="1" applyFont="1">
      <alignment vertical="bottom"/>
    </xf>
    <xf borderId="0" fillId="11" fontId="9" numFmtId="9" xfId="0" applyAlignment="1" applyFont="1" applyNumberFormat="1">
      <alignment horizontal="right" readingOrder="0" shrinkToFit="0" vertical="bottom" wrapText="0"/>
    </xf>
    <xf borderId="0" fillId="18" fontId="22" numFmtId="0" xfId="0" applyAlignment="1" applyFill="1" applyFont="1">
      <alignment horizontal="center" readingOrder="0"/>
    </xf>
    <xf borderId="0" fillId="0" fontId="23" numFmtId="0" xfId="0" applyAlignment="1" applyFont="1">
      <alignment readingOrder="0"/>
    </xf>
    <xf borderId="0" fillId="0" fontId="5" numFmtId="4" xfId="0" applyFont="1" applyNumberFormat="1"/>
    <xf borderId="0" fillId="17" fontId="24" numFmtId="0" xfId="0" applyFont="1"/>
    <xf borderId="0" fillId="9" fontId="24" numFmtId="0" xfId="0" applyFont="1"/>
    <xf borderId="0" fillId="9" fontId="24" numFmtId="0" xfId="0" applyAlignment="1" applyFont="1">
      <alignment readingOrder="0"/>
    </xf>
    <xf borderId="0" fillId="10" fontId="3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10" fontId="5" numFmtId="0" xfId="0" applyFont="1"/>
    <xf borderId="0" fillId="15" fontId="24" numFmtId="0" xfId="0" applyFont="1"/>
    <xf borderId="0" fillId="15" fontId="24" numFmtId="0" xfId="0" applyAlignment="1" applyFont="1">
      <alignment readingOrder="0"/>
    </xf>
    <xf borderId="0" fillId="0" fontId="5" numFmtId="165" xfId="0" applyFont="1" applyNumberFormat="1"/>
    <xf borderId="0" fillId="16" fontId="24" numFmtId="0" xfId="0" applyFont="1"/>
    <xf borderId="0" fillId="16" fontId="24" numFmtId="0" xfId="0" applyAlignment="1" applyFont="1">
      <alignment readingOrder="0"/>
    </xf>
    <xf borderId="0" fillId="15" fontId="25" numFmtId="0" xfId="0" applyAlignment="1" applyFont="1">
      <alignment horizontal="center" readingOrder="0"/>
    </xf>
    <xf borderId="0" fillId="0" fontId="2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Master_Sheet-style">
      <tableStyleElement dxfId="1" type="firstRowStripe"/>
      <tableStyleElement dxfId="2" type="secondRowStripe"/>
    </tableStyle>
    <tableStyle count="2" pivot="0" name="Master_Sheet-style 2">
      <tableStyleElement dxfId="1" type="firstRowStripe"/>
      <tableStyleElement dxfId="2" type="secondRowStripe"/>
    </tableStyle>
    <tableStyle count="2" pivot="0" name="Master_Sheet-style 3">
      <tableStyleElement dxfId="1" type="firstRowStripe"/>
      <tableStyleElement dxfId="2" type="secondRowStripe"/>
    </tableStyle>
    <tableStyle count="2" pivot="0" name="Master_Sheet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Master_Sheet!$AE$10:$AE$13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Master_Sheet!$AH$10:$AH$13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Master_Sheet!$AK$10:$AK$13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Master_Sheet!$AN$10:$AN$13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Master_Sheet!$AQ$10:$AQ$13</c:f>
              <c:numCache/>
            </c:numRef>
          </c:val>
          <c:smooth val="0"/>
        </c:ser>
        <c:axId val="209707095"/>
        <c:axId val="180481951"/>
      </c:lineChart>
      <c:catAx>
        <c:axId val="20970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81951"/>
      </c:catAx>
      <c:valAx>
        <c:axId val="180481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SCI (gCO₂/kWh per run)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07095"/>
      </c:valAx>
    </c:plotArea>
    <c:legend>
      <c:legendPos val="r"/>
      <c:legendEntry>
        <c:idx val="0"/>
        <c:txPr>
          <a:bodyPr/>
          <a:lstStyle/>
          <a:p>
            <a:pPr lvl="0">
              <a:defRPr b="0" i="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 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Master_Sheet!$AF$10:$AF$13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Master_Sheet!$AI$10:$AI$13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Master_Sheet!$AL$10:$AL$13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Master_Sheet!$AO$10:$AO$13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Master_Sheet!$AR$10:$AR$13</c:f>
              <c:numCache/>
            </c:numRef>
          </c:val>
          <c:smooth val="0"/>
        </c:ser>
        <c:axId val="589356564"/>
        <c:axId val="1220180357"/>
      </c:lineChart>
      <c:catAx>
        <c:axId val="589356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180357"/>
      </c:catAx>
      <c:valAx>
        <c:axId val="1220180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SEI (1/gCO₂)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356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 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Master_Sheet!$AG$10:$AG$13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Master_Sheet!$AJ$10:$AJ$13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Master_Sheet!$AM$10:$AM$13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Master_Sheet!$AP$10:$AP$13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Master_Sheet!$AS$10:$AS$13</c:f>
              <c:numCache/>
            </c:numRef>
          </c:val>
          <c:smooth val="0"/>
        </c:ser>
        <c:axId val="2087089603"/>
        <c:axId val="1399954679"/>
      </c:lineChart>
      <c:catAx>
        <c:axId val="2087089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954679"/>
      </c:catAx>
      <c:valAx>
        <c:axId val="1399954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CER (% per gCO₂)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089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Master_Sheet!$S$62:$S$63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Master_Sheet!$S$64:$S$68</c:f>
              <c:numCache/>
            </c:numRef>
          </c:val>
        </c:ser>
        <c:ser>
          <c:idx val="1"/>
          <c:order val="1"/>
          <c:tx>
            <c:strRef>
              <c:f>Master_Sheet!$T$62:$T$63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Master_Sheet!$T$64:$T$68</c:f>
              <c:numCache/>
            </c:numRef>
          </c:val>
        </c:ser>
        <c:ser>
          <c:idx val="2"/>
          <c:order val="2"/>
          <c:tx>
            <c:strRef>
              <c:f>Master_Sheet!$U$62:$U$63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Master_Sheet!$U$64:$U$68</c:f>
              <c:numCache/>
            </c:numRef>
          </c:val>
        </c:ser>
        <c:ser>
          <c:idx val="3"/>
          <c:order val="3"/>
          <c:tx>
            <c:strRef>
              <c:f>Master_Sheet!$V$62:$V$63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Master_Sheet!$V$64:$V$68</c:f>
              <c:numCache/>
            </c:numRef>
          </c:val>
        </c:ser>
        <c:ser>
          <c:idx val="4"/>
          <c:order val="4"/>
          <c:tx>
            <c:strRef>
              <c:f>Master_Sheet!$W$62:$W$63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Master_Sheet!$W$64:$W$68</c:f>
              <c:numCache/>
            </c:numRef>
          </c:val>
        </c:ser>
        <c:ser>
          <c:idx val="5"/>
          <c:order val="5"/>
          <c:tx>
            <c:strRef>
              <c:f>Master_Sheet!$X$62:$X$63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Master_Sheet!$X$64:$X$68</c:f>
              <c:numCache/>
            </c:numRef>
          </c:val>
        </c:ser>
        <c:axId val="964822223"/>
        <c:axId val="1096517266"/>
      </c:barChart>
      <c:catAx>
        <c:axId val="96482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517266"/>
      </c:catAx>
      <c:valAx>
        <c:axId val="1096517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Green F-𝛽 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822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Master_Sheet!$AG$200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Master_Sheet!$AG$201:$AG$205</c:f>
              <c:numCache/>
            </c:numRef>
          </c:val>
        </c:ser>
        <c:ser>
          <c:idx val="1"/>
          <c:order val="1"/>
          <c:tx>
            <c:strRef>
              <c:f>Master_Sheet!$AH$200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Master_Sheet!$AH$201:$AH$205</c:f>
              <c:numCache/>
            </c:numRef>
          </c:val>
        </c:ser>
        <c:ser>
          <c:idx val="2"/>
          <c:order val="2"/>
          <c:tx>
            <c:strRef>
              <c:f>Master_Sheet!$AI$200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Master_Sheet!$AI$201:$AI$205</c:f>
              <c:numCache/>
            </c:numRef>
          </c:val>
        </c:ser>
        <c:axId val="1267111763"/>
        <c:axId val="438230528"/>
      </c:barChart>
      <c:catAx>
        <c:axId val="1267111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230528"/>
      </c:catAx>
      <c:valAx>
        <c:axId val="438230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Relative Change (%)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111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Master_Sheet!$AF$1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4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Master_Sheet!$AE$2:$AE$6</c:f>
            </c:strRef>
          </c:cat>
          <c:val>
            <c:numRef>
              <c:f>Master_Sheet!$AF$2:$AF$6</c:f>
              <c:numCache/>
            </c:numRef>
          </c:val>
        </c:ser>
        <c:axId val="1054636174"/>
        <c:axId val="2093231180"/>
      </c:barChart>
      <c:catAx>
        <c:axId val="1054636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231180"/>
      </c:catAx>
      <c:valAx>
        <c:axId val="2093231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Stability Index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636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Master_Sheet!$Y$18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5818E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Master_Sheet!$X$19:$X$23</c:f>
            </c:strRef>
          </c:cat>
          <c:val>
            <c:numRef>
              <c:f>Master_Sheet!$Y$19:$Y$23</c:f>
              <c:numCache/>
            </c:numRef>
          </c:val>
        </c:ser>
        <c:axId val="877411476"/>
        <c:axId val="253483616"/>
      </c:barChart>
      <c:catAx>
        <c:axId val="877411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483616"/>
      </c:catAx>
      <c:valAx>
        <c:axId val="253483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SVI (Higher = Better 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411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Master_Sheet!$AB$18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Master_Sheet!$AA$19:$AA$23</c:f>
            </c:strRef>
          </c:cat>
          <c:val>
            <c:numRef>
              <c:f>Master_Sheet!$AB$19:$AB$23</c:f>
              <c:numCache/>
            </c:numRef>
          </c:val>
          <c:smooth val="0"/>
        </c:ser>
        <c:ser>
          <c:idx val="1"/>
          <c:order val="1"/>
          <c:tx>
            <c:strRef>
              <c:f>Master_Sheet!$AC$18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Master_Sheet!$AA$19:$AA$23</c:f>
            </c:strRef>
          </c:cat>
          <c:val>
            <c:numRef>
              <c:f>Master_Sheet!$AC$19:$AC$23</c:f>
              <c:numCache/>
            </c:numRef>
          </c:val>
          <c:smooth val="0"/>
        </c:ser>
        <c:axId val="1177767699"/>
        <c:axId val="816512070"/>
      </c:lineChart>
      <c:catAx>
        <c:axId val="1177767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512070"/>
      </c:catAx>
      <c:valAx>
        <c:axId val="816512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Velocity Metrics (Higher = Better)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767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Master_Sheet!$AE$10:$AE$13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Master_Sheet!$AH$10:$AH$13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Master_Sheet!$AK$10:$AK$13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Master_Sheet!$AN$10:$AN$13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Master_Sheet!$AQ$10:$AQ$13</c:f>
              <c:numCache/>
            </c:numRef>
          </c:val>
          <c:smooth val="0"/>
        </c:ser>
        <c:axId val="1028490819"/>
        <c:axId val="188431315"/>
      </c:lineChart>
      <c:catAx>
        <c:axId val="1028490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31315"/>
      </c:catAx>
      <c:valAx>
        <c:axId val="18843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SCI (gCO₂/kWh per run)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490819"/>
      </c:valAx>
    </c:plotArea>
    <c:legend>
      <c:legendPos val="r"/>
      <c:legendEntry>
        <c:idx val="0"/>
        <c:txPr>
          <a:bodyPr/>
          <a:lstStyle/>
          <a:p>
            <a:pPr lvl="0">
              <a:defRPr b="0" i="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 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Master_Sheet!$AF$10:$AF$13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Master_Sheet!$AI$10:$AI$13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Master_Sheet!$AL$10:$AL$13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Master_Sheet!$AO$10:$AO$13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Master_Sheet!$AR$10:$AR$13</c:f>
              <c:numCache/>
            </c:numRef>
          </c:val>
          <c:smooth val="0"/>
        </c:ser>
        <c:axId val="1386779057"/>
        <c:axId val="499971942"/>
      </c:lineChart>
      <c:catAx>
        <c:axId val="1386779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971942"/>
      </c:catAx>
      <c:valAx>
        <c:axId val="49997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SEI (1/gCO₂)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779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deepseek-coder-7b-instruct-v1.5 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Master_Sheet!$AG$10:$AG$13</c:f>
              <c:numCache/>
            </c:numRef>
          </c:val>
          <c:smooth val="0"/>
        </c:ser>
        <c:ser>
          <c:idx val="1"/>
          <c:order val="1"/>
          <c:tx>
            <c:v>Meta-Llama-3-8B-Instruct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Master_Sheet!$AJ$10:$AJ$13</c:f>
              <c:numCache/>
            </c:numRef>
          </c:val>
          <c:smooth val="0"/>
        </c:ser>
        <c:ser>
          <c:idx val="2"/>
          <c:order val="2"/>
          <c:tx>
            <c:v>Mistral-7B-Instruct-v0.3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Master_Sheet!$AM$10:$AM$13</c:f>
              <c:numCache/>
            </c:numRef>
          </c:val>
          <c:smooth val="0"/>
        </c:ser>
        <c:ser>
          <c:idx val="3"/>
          <c:order val="3"/>
          <c:tx>
            <c:v>Qwen2.5-1.5B-Instruct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Master_Sheet!$AP$10:$AP$13</c:f>
              <c:numCache/>
            </c:numRef>
          </c:val>
          <c:smooth val="0"/>
        </c:ser>
        <c:ser>
          <c:idx val="4"/>
          <c:order val="4"/>
          <c:tx>
            <c:v>Phi-3.5-mini-instruct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Master_Sheet!$AD$10:$AD$13</c:f>
            </c:strRef>
          </c:cat>
          <c:val>
            <c:numRef>
              <c:f>Master_Sheet!$AS$10:$AS$13</c:f>
              <c:numCache/>
            </c:numRef>
          </c:val>
          <c:smooth val="0"/>
        </c:ser>
        <c:axId val="258937637"/>
        <c:axId val="1376631734"/>
      </c:lineChart>
      <c:catAx>
        <c:axId val="258937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Prompt Versions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631734"/>
      </c:catAx>
      <c:valAx>
        <c:axId val="1376631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CER (% per gCO₂)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937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Master_Sheet!$AG$200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Master_Sheet!$AG$201:$AG$205</c:f>
              <c:numCache/>
            </c:numRef>
          </c:val>
        </c:ser>
        <c:ser>
          <c:idx val="1"/>
          <c:order val="1"/>
          <c:tx>
            <c:strRef>
              <c:f>Master_Sheet!$AH$200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Master_Sheet!$AH$201:$AH$205</c:f>
              <c:numCache/>
            </c:numRef>
          </c:val>
        </c:ser>
        <c:ser>
          <c:idx val="2"/>
          <c:order val="2"/>
          <c:tx>
            <c:strRef>
              <c:f>Master_Sheet!$AI$200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Master_Sheet!$AD$201:$AD$205</c:f>
            </c:strRef>
          </c:cat>
          <c:val>
            <c:numRef>
              <c:f>Master_Sheet!$AI$201:$AI$205</c:f>
              <c:numCache/>
            </c:numRef>
          </c:val>
        </c:ser>
        <c:axId val="477197304"/>
        <c:axId val="144109333"/>
      </c:barChart>
      <c:catAx>
        <c:axId val="47719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9333"/>
      </c:catAx>
      <c:valAx>
        <c:axId val="144109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Relative Change (%)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197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Stability_Index Mean vs. Model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Stability_Index!$B$1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Stability_Index!$A$2:$A$6</c:f>
            </c:strRef>
          </c:cat>
          <c:val>
            <c:numRef>
              <c:f>Stability_Index!$B$2:$B$6</c:f>
              <c:numCache/>
            </c:numRef>
          </c:val>
        </c:ser>
        <c:axId val="432494206"/>
        <c:axId val="440297348"/>
      </c:barChart>
      <c:catAx>
        <c:axId val="432494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297348"/>
      </c:catAx>
      <c:valAx>
        <c:axId val="440297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Stability_Index Mean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494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SCV and SCV_E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SCV_SCVE!$B$1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SCV_SCVE!$A$2:$A$6</c:f>
            </c:strRef>
          </c:cat>
          <c:val>
            <c:numRef>
              <c:f>SCV_SCVE!$B$2:$B$6</c:f>
              <c:numCache/>
            </c:numRef>
          </c:val>
          <c:smooth val="0"/>
        </c:ser>
        <c:ser>
          <c:idx val="1"/>
          <c:order val="1"/>
          <c:tx>
            <c:strRef>
              <c:f>SCV_SCVE!$C$1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SCV_SCVE!$A$2:$A$6</c:f>
            </c:strRef>
          </c:cat>
          <c:val>
            <c:numRef>
              <c:f>SCV_SCVE!$C$2:$C$6</c:f>
              <c:numCache/>
            </c:numRef>
          </c:val>
          <c:smooth val="0"/>
        </c:ser>
        <c:axId val="2069703864"/>
        <c:axId val="707369069"/>
      </c:lineChart>
      <c:catAx>
        <c:axId val="206970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369069"/>
      </c:catAx>
      <c:valAx>
        <c:axId val="707369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Velocity Metrics (Higher = Better)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70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Master_Sheet!$Y$18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5818E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Master_Sheet!$X$19:$X$23</c:f>
            </c:strRef>
          </c:cat>
          <c:val>
            <c:numRef>
              <c:f>Master_Sheet!$Y$19:$Y$23</c:f>
              <c:numCache/>
            </c:numRef>
          </c:val>
        </c:ser>
        <c:axId val="80775812"/>
        <c:axId val="431139746"/>
      </c:barChart>
      <c:catAx>
        <c:axId val="80775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139746"/>
      </c:catAx>
      <c:valAx>
        <c:axId val="431139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SVI (Higher = Better 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75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Master_Sheet!$S$62:$S$63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Master_Sheet!$S$64:$S$68</c:f>
              <c:numCache/>
            </c:numRef>
          </c:val>
        </c:ser>
        <c:ser>
          <c:idx val="1"/>
          <c:order val="1"/>
          <c:tx>
            <c:strRef>
              <c:f>Master_Sheet!$T$62:$T$63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Master_Sheet!$T$64:$T$68</c:f>
              <c:numCache/>
            </c:numRef>
          </c:val>
        </c:ser>
        <c:ser>
          <c:idx val="2"/>
          <c:order val="2"/>
          <c:tx>
            <c:strRef>
              <c:f>Master_Sheet!$U$62:$U$63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Master_Sheet!$U$64:$U$68</c:f>
              <c:numCache/>
            </c:numRef>
          </c:val>
        </c:ser>
        <c:ser>
          <c:idx val="3"/>
          <c:order val="3"/>
          <c:tx>
            <c:strRef>
              <c:f>Master_Sheet!$V$62:$V$63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Master_Sheet!$V$64:$V$68</c:f>
              <c:numCache/>
            </c:numRef>
          </c:val>
        </c:ser>
        <c:ser>
          <c:idx val="4"/>
          <c:order val="4"/>
          <c:tx>
            <c:strRef>
              <c:f>Master_Sheet!$W$62:$W$63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Master_Sheet!$W$64:$W$68</c:f>
              <c:numCache/>
            </c:numRef>
          </c:val>
        </c:ser>
        <c:ser>
          <c:idx val="5"/>
          <c:order val="5"/>
          <c:tx>
            <c:strRef>
              <c:f>Master_Sheet!$X$62:$X$63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Master_Sheet!$R$64:$R$68</c:f>
            </c:strRef>
          </c:cat>
          <c:val>
            <c:numRef>
              <c:f>Master_Sheet!$X$64:$X$68</c:f>
              <c:numCache/>
            </c:numRef>
          </c:val>
        </c:ser>
        <c:axId val="257453236"/>
        <c:axId val="696980726"/>
      </c:barChart>
      <c:catAx>
        <c:axId val="257453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980726"/>
      </c:catAx>
      <c:valAx>
        <c:axId val="696980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Mean Green F-𝛽 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453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847725</xdr:colOff>
      <xdr:row>206</xdr:row>
      <xdr:rowOff>114300</xdr:rowOff>
    </xdr:from>
    <xdr:ext cx="4229100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39</xdr:col>
      <xdr:colOff>885825</xdr:colOff>
      <xdr:row>206</xdr:row>
      <xdr:rowOff>190500</xdr:rowOff>
    </xdr:from>
    <xdr:ext cx="4286250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36</xdr:col>
      <xdr:colOff>609600</xdr:colOff>
      <xdr:row>223</xdr:row>
      <xdr:rowOff>57150</xdr:rowOff>
    </xdr:from>
    <xdr:ext cx="4772025" cy="2943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228600</xdr:colOff>
      <xdr:row>69</xdr:row>
      <xdr:rowOff>190500</xdr:rowOff>
    </xdr:from>
    <xdr:ext cx="6210300" cy="3190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31</xdr:col>
      <xdr:colOff>66675</xdr:colOff>
      <xdr:row>207</xdr:row>
      <xdr:rowOff>114300</xdr:rowOff>
    </xdr:from>
    <xdr:ext cx="5391150" cy="3028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904875</xdr:colOff>
      <xdr:row>38</xdr:row>
      <xdr:rowOff>171450</xdr:rowOff>
    </xdr:from>
    <xdr:ext cx="4457700" cy="2362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552450</xdr:colOff>
      <xdr:row>23</xdr:row>
      <xdr:rowOff>38100</xdr:rowOff>
    </xdr:from>
    <xdr:ext cx="5715000" cy="3076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26</xdr:col>
      <xdr:colOff>571500</xdr:colOff>
      <xdr:row>23</xdr:row>
      <xdr:rowOff>190500</xdr:rowOff>
    </xdr:from>
    <xdr:ext cx="4629150" cy="28003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190500</xdr:rowOff>
    </xdr:from>
    <xdr:ext cx="4229100" cy="2990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361950</xdr:colOff>
      <xdr:row>8</xdr:row>
      <xdr:rowOff>104775</xdr:rowOff>
    </xdr:from>
    <xdr:ext cx="4286250" cy="2876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152400</xdr:colOff>
      <xdr:row>8</xdr:row>
      <xdr:rowOff>19050</xdr:rowOff>
    </xdr:from>
    <xdr:ext cx="4772025" cy="29432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7</xdr:row>
      <xdr:rowOff>152400</xdr:rowOff>
    </xdr:from>
    <xdr:ext cx="5391150" cy="30289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0</xdr:row>
      <xdr:rowOff>9525</xdr:rowOff>
    </xdr:from>
    <xdr:ext cx="56388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0</xdr:row>
      <xdr:rowOff>47625</xdr:rowOff>
    </xdr:from>
    <xdr:ext cx="5448300" cy="31908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28575</xdr:rowOff>
    </xdr:from>
    <xdr:ext cx="5715000" cy="30765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1590675</xdr:colOff>
      <xdr:row>7</xdr:row>
      <xdr:rowOff>38100</xdr:rowOff>
    </xdr:from>
    <xdr:ext cx="6210300" cy="31908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D2:E34" displayName="Table_1" name="Table_1" id="1">
  <tableColumns count="2">
    <tableColumn name="Column1" id="1"/>
    <tableColumn name="Column2" id="2"/>
  </tableColumns>
  <tableStyleInfo name="Master_Sheet-style" showColumnStripes="0" showFirstColumn="1" showLastColumn="1" showRowStripes="1"/>
</table>
</file>

<file path=xl/tables/table2.xml><?xml version="1.0" encoding="utf-8"?>
<table xmlns="http://schemas.openxmlformats.org/spreadsheetml/2006/main" headerRowCount="0" ref="D134:E166" displayName="Table_2" name="Table_2" id="2">
  <tableColumns count="2">
    <tableColumn name="Column1" id="1"/>
    <tableColumn name="Column2" id="2"/>
  </tableColumns>
  <tableStyleInfo name="Master_She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66:E298" displayName="Table_3" name="Table_3" id="3">
  <tableColumns count="2">
    <tableColumn name="Column1" id="1"/>
    <tableColumn name="Column2" id="2"/>
  </tableColumns>
  <tableStyleInfo name="Master_She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98:E430" displayName="Table_4" name="Table_4" id="4">
  <tableColumns count="2">
    <tableColumn name="Column1" id="1"/>
    <tableColumn name="Column2" id="2"/>
  </tableColumns>
  <tableStyleInfo name="Master_Shee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15.75"/>
    <col customWidth="1" min="11" max="16" width="21.0"/>
    <col customWidth="1" min="17" max="17" width="28.0"/>
    <col customWidth="1" min="18" max="18" width="23.13"/>
    <col customWidth="1" min="19" max="20" width="20.0"/>
    <col customWidth="1" min="21" max="21" width="23.38"/>
    <col customWidth="1" min="22" max="22" width="23.75"/>
    <col customWidth="1" min="23" max="23" width="20.0"/>
    <col customWidth="1" min="24" max="24" width="26.25"/>
    <col customWidth="1" min="25" max="25" width="17.75"/>
    <col customWidth="1" min="26" max="26" width="19.5"/>
    <col customWidth="1" min="27" max="27" width="24.88"/>
    <col customWidth="1" min="28" max="29" width="15.38"/>
    <col customWidth="1" min="30" max="30" width="23.13"/>
    <col customWidth="1" min="31" max="31" width="25.0"/>
    <col customWidth="1" min="32" max="32" width="19.38"/>
    <col customWidth="1" min="33" max="33" width="17.38"/>
    <col customWidth="1" min="34" max="34" width="21.63"/>
    <col customWidth="1" min="35" max="35" width="18.75"/>
    <col customWidth="1" min="36" max="36" width="16.63"/>
    <col customWidth="1" min="37" max="37" width="15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8"/>
      <c r="X1" s="9" t="s">
        <v>22</v>
      </c>
      <c r="Y1" s="10" t="s">
        <v>23</v>
      </c>
      <c r="Z1" s="9" t="s">
        <v>24</v>
      </c>
      <c r="AA1" s="9" t="s">
        <v>25</v>
      </c>
      <c r="AB1" s="11" t="s">
        <v>26</v>
      </c>
      <c r="AC1" s="12" t="s">
        <v>27</v>
      </c>
      <c r="AE1" s="13" t="s">
        <v>22</v>
      </c>
      <c r="AF1" s="14" t="s">
        <v>28</v>
      </c>
      <c r="AG1" s="15"/>
      <c r="AH1" s="15"/>
      <c r="AI1" s="16"/>
      <c r="AJ1" s="17"/>
      <c r="AK1" s="17"/>
      <c r="AL1" s="17"/>
    </row>
    <row r="2">
      <c r="A2" s="18" t="s">
        <v>29</v>
      </c>
      <c r="B2" s="8" t="s">
        <v>30</v>
      </c>
      <c r="C2" s="8">
        <v>1.0</v>
      </c>
      <c r="D2" s="19">
        <v>0.88</v>
      </c>
      <c r="E2" s="20">
        <v>1.35</v>
      </c>
      <c r="F2" s="8">
        <v>0.005</v>
      </c>
      <c r="G2" s="21">
        <v>140.825100378</v>
      </c>
      <c r="H2" s="22">
        <f t="shared" ref="H2:H661" si="1">F2*389/5</f>
        <v>0.389</v>
      </c>
      <c r="I2" s="22">
        <f t="shared" ref="I2:I661" si="2">1/H2</f>
        <v>2.570694087</v>
      </c>
      <c r="J2" s="22">
        <f t="shared" ref="J2:J661" si="3">D2/E2</f>
        <v>0.6518518519</v>
      </c>
      <c r="K2" s="22">
        <f t="shared" ref="K2:K661" si="4">D2/(G2*E2)</f>
        <v>0.004628804454</v>
      </c>
      <c r="L2" s="22">
        <f t="shared" ref="L2:L661" si="5">D2/(G2*F2)</f>
        <v>1.249777203</v>
      </c>
      <c r="M2" s="22">
        <f t="shared" ref="M2:M133" si="6">(H2-MIN($H$2:$H$133))/(MAX($H$2:$H$133)-MIN($H$2:$H$133))</f>
        <v>0.5</v>
      </c>
      <c r="N2" s="22">
        <f t="shared" ref="N2:N133" si="7">(G2-MIN($G$2:$G$133))/(MAX($G$2:$G$133)-MIN($G$2:$G$133))</f>
        <v>0.5058413324</v>
      </c>
      <c r="O2" s="22">
        <f t="shared" ref="O2:O133" si="8">0.88*(1/(1+M2))*(1/(1+N2))*(1-0.08824265904)</f>
        <v>0.3552151402</v>
      </c>
      <c r="P2" s="22">
        <f t="shared" ref="P2:P661" si="9">1/(1+M2)*(1+N2)</f>
        <v>1.003894222</v>
      </c>
      <c r="Q2" s="22">
        <f>AVERAGE(E2,E34)</f>
        <v>1.3</v>
      </c>
      <c r="R2" s="23">
        <f>AVERAGE(E101,E133)</f>
        <v>1.34</v>
      </c>
      <c r="S2" s="8">
        <v>0.88</v>
      </c>
      <c r="T2" s="8">
        <v>0.88</v>
      </c>
      <c r="U2" s="22">
        <f>HARMEAN(F2,F34)</f>
        <v>0.004444444444</v>
      </c>
      <c r="V2" s="22">
        <f>HARMEAN(F101,F133)</f>
        <v>0.003</v>
      </c>
      <c r="X2" s="18" t="s">
        <v>29</v>
      </c>
      <c r="Y2" s="17" t="s">
        <v>7</v>
      </c>
      <c r="Z2" s="22">
        <f>AVERAGE(H2,H133)</f>
        <v>0.3112</v>
      </c>
      <c r="AA2" s="24">
        <f>_xlfn.STDEV.P(H2,H133)</f>
        <v>0.0778</v>
      </c>
      <c r="AB2" s="22">
        <f t="shared" ref="AB2:AB16" si="10">1-(AA2/Z2)</f>
        <v>0.75</v>
      </c>
      <c r="AC2" s="25">
        <f>(AA2-MIN($AA$2:$AA$4))/(MAX($AA$2:$AA$4)-MIN($AA$2:$AA$4))</f>
        <v>0.08824265904</v>
      </c>
      <c r="AE2" s="18" t="s">
        <v>29</v>
      </c>
      <c r="AF2" s="26">
        <f>AVERAGE(AB2,AB4)</f>
        <v>0.8731549815</v>
      </c>
      <c r="AG2" s="26"/>
      <c r="AH2" s="26"/>
      <c r="AI2" s="18"/>
      <c r="AJ2" s="17"/>
      <c r="AK2" s="17"/>
      <c r="AL2" s="17"/>
    </row>
    <row r="3">
      <c r="A3" s="18" t="s">
        <v>29</v>
      </c>
      <c r="B3" s="8" t="s">
        <v>30</v>
      </c>
      <c r="C3" s="8">
        <v>2.0</v>
      </c>
      <c r="D3" s="19">
        <v>0.88</v>
      </c>
      <c r="E3" s="27">
        <v>1.34</v>
      </c>
      <c r="F3" s="8">
        <v>0.005</v>
      </c>
      <c r="G3" s="21">
        <v>138.529535624999</v>
      </c>
      <c r="H3" s="22">
        <f t="shared" si="1"/>
        <v>0.389</v>
      </c>
      <c r="I3" s="22">
        <f t="shared" si="2"/>
        <v>2.570694087</v>
      </c>
      <c r="J3" s="22">
        <f t="shared" si="3"/>
        <v>0.6567164179</v>
      </c>
      <c r="K3" s="22">
        <f t="shared" si="4"/>
        <v>0.004740623831</v>
      </c>
      <c r="L3" s="22">
        <f t="shared" si="5"/>
        <v>1.270487187</v>
      </c>
      <c r="M3" s="22">
        <f t="shared" si="6"/>
        <v>0.5</v>
      </c>
      <c r="N3" s="22">
        <f t="shared" si="7"/>
        <v>0.486798347</v>
      </c>
      <c r="O3" s="22">
        <f t="shared" si="8"/>
        <v>0.359764753</v>
      </c>
      <c r="P3" s="22">
        <f t="shared" si="9"/>
        <v>0.991198898</v>
      </c>
      <c r="X3" s="18" t="s">
        <v>29</v>
      </c>
      <c r="Y3" s="17" t="s">
        <v>8</v>
      </c>
      <c r="Z3" s="22">
        <f>AVERAGEA(I2,I133)</f>
        <v>3.427592117</v>
      </c>
      <c r="AA3" s="22">
        <f>_xlfn.STDEV.P(I2,I133)</f>
        <v>0.8568980291</v>
      </c>
      <c r="AB3" s="22">
        <f t="shared" si="10"/>
        <v>0.75</v>
      </c>
      <c r="AC3" s="25"/>
      <c r="AE3" s="18" t="s">
        <v>31</v>
      </c>
      <c r="AF3" s="26">
        <f>AVERAGE(AB5,AB7)</f>
        <v>0.72664</v>
      </c>
      <c r="AG3" s="26"/>
      <c r="AH3" s="26"/>
      <c r="AI3" s="18"/>
      <c r="AJ3" s="17"/>
      <c r="AK3" s="17"/>
      <c r="AL3" s="17"/>
    </row>
    <row r="4">
      <c r="A4" s="18" t="s">
        <v>29</v>
      </c>
      <c r="B4" s="8" t="s">
        <v>30</v>
      </c>
      <c r="C4" s="8">
        <v>3.0</v>
      </c>
      <c r="D4" s="19">
        <v>0.88</v>
      </c>
      <c r="E4" s="20">
        <v>1.31</v>
      </c>
      <c r="F4" s="8">
        <v>0.005</v>
      </c>
      <c r="G4" s="21">
        <v>135.540255681999</v>
      </c>
      <c r="H4" s="22">
        <f t="shared" si="1"/>
        <v>0.389</v>
      </c>
      <c r="I4" s="22">
        <f t="shared" si="2"/>
        <v>2.570694087</v>
      </c>
      <c r="J4" s="22">
        <f t="shared" si="3"/>
        <v>0.6717557252</v>
      </c>
      <c r="K4" s="22">
        <f t="shared" si="4"/>
        <v>0.00495613441</v>
      </c>
      <c r="L4" s="22">
        <f t="shared" si="5"/>
        <v>1.298507216</v>
      </c>
      <c r="M4" s="22">
        <f t="shared" si="6"/>
        <v>0.5</v>
      </c>
      <c r="N4" s="22">
        <f t="shared" si="7"/>
        <v>0.4620006086</v>
      </c>
      <c r="O4" s="22">
        <f t="shared" si="8"/>
        <v>0.3658669065</v>
      </c>
      <c r="P4" s="22">
        <f t="shared" si="9"/>
        <v>0.9746670724</v>
      </c>
      <c r="Q4" s="5" t="s">
        <v>32</v>
      </c>
      <c r="R4" s="5" t="s">
        <v>33</v>
      </c>
      <c r="S4" s="6" t="s">
        <v>34</v>
      </c>
      <c r="T4" s="6" t="s">
        <v>35</v>
      </c>
      <c r="U4" s="7" t="s">
        <v>36</v>
      </c>
      <c r="V4" s="7" t="s">
        <v>37</v>
      </c>
      <c r="X4" s="18" t="s">
        <v>29</v>
      </c>
      <c r="Y4" s="17" t="s">
        <v>9</v>
      </c>
      <c r="Z4" s="22">
        <f>AVERAGE(J2,J133)</f>
        <v>0.6494553377</v>
      </c>
      <c r="AA4" s="22">
        <f>_xlfn.STDEV.P(J2,J133)</f>
        <v>0.002396514161</v>
      </c>
      <c r="AB4" s="22">
        <f t="shared" si="10"/>
        <v>0.9963099631</v>
      </c>
      <c r="AC4" s="25"/>
      <c r="AE4" s="18" t="s">
        <v>38</v>
      </c>
      <c r="AF4" s="26">
        <f>AVERAGE(AB8,AB10)</f>
        <v>0.6172680412</v>
      </c>
      <c r="AG4" s="26"/>
      <c r="AH4" s="26"/>
      <c r="AI4" s="18"/>
      <c r="AJ4" s="17"/>
      <c r="AL4" s="17"/>
    </row>
    <row r="5">
      <c r="A5" s="18" t="s">
        <v>29</v>
      </c>
      <c r="B5" s="8" t="s">
        <v>30</v>
      </c>
      <c r="C5" s="8">
        <v>4.0</v>
      </c>
      <c r="D5" s="19">
        <v>0.88</v>
      </c>
      <c r="E5" s="27">
        <v>1.77</v>
      </c>
      <c r="F5" s="8">
        <v>0.006</v>
      </c>
      <c r="G5" s="21">
        <v>183.727026982</v>
      </c>
      <c r="H5" s="22">
        <f t="shared" si="1"/>
        <v>0.4668</v>
      </c>
      <c r="I5" s="22">
        <f t="shared" si="2"/>
        <v>2.142245073</v>
      </c>
      <c r="J5" s="22">
        <f t="shared" si="3"/>
        <v>0.4971751412</v>
      </c>
      <c r="K5" s="22">
        <f t="shared" si="4"/>
        <v>0.002706053374</v>
      </c>
      <c r="L5" s="22">
        <f t="shared" si="5"/>
        <v>0.7982857453</v>
      </c>
      <c r="M5" s="22">
        <f t="shared" si="6"/>
        <v>0.75</v>
      </c>
      <c r="N5" s="22">
        <f t="shared" si="7"/>
        <v>0.8617366558</v>
      </c>
      <c r="O5" s="22">
        <f t="shared" si="8"/>
        <v>0.2462666726</v>
      </c>
      <c r="P5" s="22">
        <f t="shared" si="9"/>
        <v>1.063849518</v>
      </c>
      <c r="Q5" s="22">
        <f>AVERAGE(E134,E166)</f>
        <v>0.745</v>
      </c>
      <c r="R5" s="22">
        <f>AVERAGE(E233,E265)</f>
        <v>0.575</v>
      </c>
      <c r="S5" s="8">
        <v>0.88</v>
      </c>
      <c r="T5" s="8">
        <v>0.88</v>
      </c>
      <c r="U5" s="22">
        <f>HARMEAN(F134,F166)</f>
        <v>0.005454545455</v>
      </c>
      <c r="V5" s="22">
        <f>HARMEAN(F233,F265)</f>
        <v>0.00375</v>
      </c>
      <c r="X5" s="18" t="s">
        <v>31</v>
      </c>
      <c r="Y5" s="17" t="s">
        <v>7</v>
      </c>
      <c r="Z5" s="22">
        <f>AVERAGE(E134,E265)</f>
        <v>0.625</v>
      </c>
      <c r="AA5" s="22">
        <f>_xlfn.STDEV.P(H134,H265)</f>
        <v>0.1167</v>
      </c>
      <c r="AB5" s="22">
        <f t="shared" si="10"/>
        <v>0.81328</v>
      </c>
      <c r="AC5" s="25">
        <f>(AA5-MIN($AA$2:$AA$4))/(MAX($AA$2:$AA$4)-MIN($AA$2:$AA$4))</f>
        <v>0.1337662764</v>
      </c>
      <c r="AE5" s="18" t="s">
        <v>39</v>
      </c>
      <c r="AF5" s="26">
        <f>AVERAGE(AB11,AB13)</f>
        <v>0.9150268336</v>
      </c>
      <c r="AG5" s="26"/>
      <c r="AH5" s="26"/>
      <c r="AI5" s="18"/>
      <c r="AJ5" s="17"/>
      <c r="AK5" s="17"/>
      <c r="AL5" s="17"/>
    </row>
    <row r="6">
      <c r="A6" s="18" t="s">
        <v>29</v>
      </c>
      <c r="B6" s="8" t="s">
        <v>30</v>
      </c>
      <c r="C6" s="8">
        <v>5.0</v>
      </c>
      <c r="D6" s="19">
        <v>0.88</v>
      </c>
      <c r="E6" s="20">
        <v>1.4</v>
      </c>
      <c r="F6" s="8">
        <v>0.005</v>
      </c>
      <c r="G6" s="21">
        <v>144.841798532999</v>
      </c>
      <c r="H6" s="22">
        <f t="shared" si="1"/>
        <v>0.389</v>
      </c>
      <c r="I6" s="22">
        <f t="shared" si="2"/>
        <v>2.570694087</v>
      </c>
      <c r="J6" s="22">
        <f t="shared" si="3"/>
        <v>0.6285714286</v>
      </c>
      <c r="K6" s="22">
        <f t="shared" si="4"/>
        <v>0.004339710187</v>
      </c>
      <c r="L6" s="22">
        <f t="shared" si="5"/>
        <v>1.215118852</v>
      </c>
      <c r="M6" s="22">
        <f t="shared" si="6"/>
        <v>0.5</v>
      </c>
      <c r="N6" s="22">
        <f t="shared" si="7"/>
        <v>0.5391620758</v>
      </c>
      <c r="O6" s="22">
        <f t="shared" si="8"/>
        <v>0.3475252207</v>
      </c>
      <c r="P6" s="22">
        <f t="shared" si="9"/>
        <v>1.026108051</v>
      </c>
      <c r="X6" s="18" t="s">
        <v>31</v>
      </c>
      <c r="Y6" s="17" t="s">
        <v>8</v>
      </c>
      <c r="Z6" s="22">
        <f>AVERAGE(I134,I265)</f>
        <v>3.213367609</v>
      </c>
      <c r="AA6" s="22">
        <f>_xlfn.STDEV.P(I134,I265)</f>
        <v>1.071122536</v>
      </c>
      <c r="AB6" s="22">
        <f t="shared" si="10"/>
        <v>0.6666666667</v>
      </c>
      <c r="AC6" s="25"/>
      <c r="AE6" s="18" t="s">
        <v>40</v>
      </c>
      <c r="AF6" s="26">
        <f>AVERAGE(AB14,AB16)</f>
        <v>0.7580808081</v>
      </c>
      <c r="AG6" s="26"/>
      <c r="AH6" s="26"/>
      <c r="AI6" s="18"/>
      <c r="AJ6" s="17"/>
      <c r="AK6" s="17"/>
      <c r="AL6" s="17"/>
    </row>
    <row r="7">
      <c r="A7" s="18" t="s">
        <v>29</v>
      </c>
      <c r="B7" s="8" t="s">
        <v>30</v>
      </c>
      <c r="C7" s="8">
        <v>6.0</v>
      </c>
      <c r="D7" s="19">
        <v>0.88</v>
      </c>
      <c r="E7" s="27">
        <v>1.42</v>
      </c>
      <c r="F7" s="8">
        <v>0.005</v>
      </c>
      <c r="G7" s="21">
        <v>147.599787555999</v>
      </c>
      <c r="H7" s="22">
        <f t="shared" si="1"/>
        <v>0.389</v>
      </c>
      <c r="I7" s="22">
        <f t="shared" si="2"/>
        <v>2.570694087</v>
      </c>
      <c r="J7" s="22">
        <f t="shared" si="3"/>
        <v>0.6197183099</v>
      </c>
      <c r="K7" s="22">
        <f t="shared" si="4"/>
        <v>0.004198639579</v>
      </c>
      <c r="L7" s="22">
        <f t="shared" si="5"/>
        <v>1.19241364</v>
      </c>
      <c r="M7" s="22">
        <f t="shared" si="6"/>
        <v>0.5</v>
      </c>
      <c r="N7" s="22">
        <f t="shared" si="7"/>
        <v>0.5620411275</v>
      </c>
      <c r="O7" s="22">
        <f t="shared" si="8"/>
        <v>0.3424350554</v>
      </c>
      <c r="P7" s="22">
        <f t="shared" si="9"/>
        <v>1.041360752</v>
      </c>
      <c r="Q7" s="5" t="s">
        <v>41</v>
      </c>
      <c r="R7" s="5" t="s">
        <v>42</v>
      </c>
      <c r="S7" s="6" t="s">
        <v>43</v>
      </c>
      <c r="T7" s="6" t="s">
        <v>44</v>
      </c>
      <c r="U7" s="7" t="s">
        <v>45</v>
      </c>
      <c r="V7" s="7" t="s">
        <v>46</v>
      </c>
      <c r="X7" s="18" t="s">
        <v>31</v>
      </c>
      <c r="Y7" s="17" t="s">
        <v>9</v>
      </c>
      <c r="Z7" s="22">
        <f>AVERAGE(J134,J265)</f>
        <v>1.617647059</v>
      </c>
      <c r="AA7" s="22">
        <f>_xlfn.STDEV.P(J134,J265)</f>
        <v>0.5823529412</v>
      </c>
      <c r="AB7" s="22">
        <f t="shared" si="10"/>
        <v>0.64</v>
      </c>
      <c r="AC7" s="25"/>
    </row>
    <row r="8">
      <c r="A8" s="18" t="s">
        <v>29</v>
      </c>
      <c r="B8" s="8" t="s">
        <v>30</v>
      </c>
      <c r="C8" s="8">
        <v>7.0</v>
      </c>
      <c r="D8" s="19">
        <v>0.88</v>
      </c>
      <c r="E8" s="20">
        <v>1.36</v>
      </c>
      <c r="F8" s="8">
        <v>0.005</v>
      </c>
      <c r="G8" s="21">
        <v>141.573052289999</v>
      </c>
      <c r="H8" s="22">
        <f t="shared" si="1"/>
        <v>0.389</v>
      </c>
      <c r="I8" s="22">
        <f t="shared" si="2"/>
        <v>2.570694087</v>
      </c>
      <c r="J8" s="22">
        <f t="shared" si="3"/>
        <v>0.6470588235</v>
      </c>
      <c r="K8" s="22">
        <f t="shared" si="4"/>
        <v>0.004570494265</v>
      </c>
      <c r="L8" s="22">
        <f t="shared" si="5"/>
        <v>1.24317444</v>
      </c>
      <c r="M8" s="22">
        <f t="shared" si="6"/>
        <v>0.5</v>
      </c>
      <c r="N8" s="22">
        <f t="shared" si="7"/>
        <v>0.5120460092</v>
      </c>
      <c r="O8" s="22">
        <f t="shared" si="8"/>
        <v>0.3537575158</v>
      </c>
      <c r="P8" s="22">
        <f t="shared" si="9"/>
        <v>1.008030673</v>
      </c>
      <c r="Q8" s="22">
        <f>AVERAGE(E266,E298)</f>
        <v>1.41</v>
      </c>
      <c r="R8" s="22">
        <f>AVERAGE(E365,E397)</f>
        <v>0.49</v>
      </c>
      <c r="S8" s="8">
        <v>0.89</v>
      </c>
      <c r="T8" s="8">
        <v>0.89</v>
      </c>
      <c r="U8" s="22">
        <f>HARMEAN(F266,F298)</f>
        <v>0.005</v>
      </c>
      <c r="V8" s="22">
        <f>HARMEAN(F365,F397)</f>
        <v>0.003428571429</v>
      </c>
      <c r="X8" s="18" t="s">
        <v>38</v>
      </c>
      <c r="Y8" s="17" t="s">
        <v>7</v>
      </c>
      <c r="Z8" s="22">
        <f>AVERAGE(H266,H397)</f>
        <v>0.3112</v>
      </c>
      <c r="AA8" s="22">
        <f>_xlfn.STDEV.P(H266,H397)</f>
        <v>0.0778</v>
      </c>
      <c r="AB8" s="22">
        <f t="shared" si="10"/>
        <v>0.75</v>
      </c>
      <c r="AC8" s="25">
        <f>(AA8-MIN($AA$2:$AA$4))/(MAX($AA$2:$AA$4)-MIN($AA$2:$AA$4))</f>
        <v>0.08824265904</v>
      </c>
      <c r="AD8" s="28"/>
      <c r="AE8" s="29" t="s">
        <v>29</v>
      </c>
      <c r="AF8" s="30"/>
      <c r="AG8" s="31"/>
      <c r="AH8" s="29" t="s">
        <v>31</v>
      </c>
      <c r="AI8" s="30"/>
      <c r="AJ8" s="31"/>
      <c r="AK8" s="29" t="s">
        <v>38</v>
      </c>
      <c r="AL8" s="30"/>
      <c r="AM8" s="31"/>
      <c r="AN8" s="29" t="s">
        <v>39</v>
      </c>
      <c r="AO8" s="30"/>
      <c r="AP8" s="31"/>
      <c r="AQ8" s="29" t="s">
        <v>40</v>
      </c>
      <c r="AR8" s="30"/>
      <c r="AS8" s="31"/>
    </row>
    <row r="9">
      <c r="A9" s="18" t="s">
        <v>29</v>
      </c>
      <c r="B9" s="8" t="s">
        <v>30</v>
      </c>
      <c r="C9" s="8">
        <v>8.0</v>
      </c>
      <c r="D9" s="19">
        <v>0.88</v>
      </c>
      <c r="E9" s="27">
        <v>1.79</v>
      </c>
      <c r="F9" s="8">
        <v>0.006</v>
      </c>
      <c r="G9" s="21">
        <v>186.014476742</v>
      </c>
      <c r="H9" s="22">
        <f t="shared" si="1"/>
        <v>0.4668</v>
      </c>
      <c r="I9" s="22">
        <f t="shared" si="2"/>
        <v>2.142245073</v>
      </c>
      <c r="J9" s="22">
        <f t="shared" si="3"/>
        <v>0.4916201117</v>
      </c>
      <c r="K9" s="22">
        <f t="shared" si="4"/>
        <v>0.002642913177</v>
      </c>
      <c r="L9" s="22">
        <f t="shared" si="5"/>
        <v>0.7884690979</v>
      </c>
      <c r="M9" s="22">
        <f t="shared" si="6"/>
        <v>0.75</v>
      </c>
      <c r="N9" s="22">
        <f t="shared" si="7"/>
        <v>0.8807123228</v>
      </c>
      <c r="O9" s="22">
        <f t="shared" si="8"/>
        <v>0.2437819362</v>
      </c>
      <c r="P9" s="22">
        <f t="shared" si="9"/>
        <v>1.074692756</v>
      </c>
      <c r="X9" s="18" t="s">
        <v>38</v>
      </c>
      <c r="Y9" s="17" t="s">
        <v>8</v>
      </c>
      <c r="Z9" s="22">
        <f>AVERAGE(I266,I397)</f>
        <v>3.427592117</v>
      </c>
      <c r="AA9" s="22">
        <f>_xlfn.STDEV.P(I266,I397)</f>
        <v>0.8568980291</v>
      </c>
      <c r="AB9" s="22">
        <f t="shared" si="10"/>
        <v>0.75</v>
      </c>
      <c r="AC9" s="25"/>
      <c r="AD9" s="32" t="s">
        <v>1</v>
      </c>
      <c r="AE9" s="33" t="s">
        <v>47</v>
      </c>
      <c r="AF9" s="34" t="s">
        <v>48</v>
      </c>
      <c r="AG9" s="35" t="s">
        <v>49</v>
      </c>
      <c r="AH9" s="33" t="s">
        <v>47</v>
      </c>
      <c r="AI9" s="34" t="s">
        <v>48</v>
      </c>
      <c r="AJ9" s="35" t="s">
        <v>49</v>
      </c>
      <c r="AK9" s="33" t="s">
        <v>47</v>
      </c>
      <c r="AL9" s="34" t="s">
        <v>48</v>
      </c>
      <c r="AM9" s="35" t="s">
        <v>49</v>
      </c>
      <c r="AN9" s="33" t="s">
        <v>47</v>
      </c>
      <c r="AO9" s="34" t="s">
        <v>48</v>
      </c>
      <c r="AP9" s="35" t="s">
        <v>49</v>
      </c>
      <c r="AQ9" s="33" t="s">
        <v>47</v>
      </c>
      <c r="AR9" s="34" t="s">
        <v>48</v>
      </c>
      <c r="AS9" s="35" t="s">
        <v>49</v>
      </c>
    </row>
    <row r="10">
      <c r="A10" s="18" t="s">
        <v>29</v>
      </c>
      <c r="B10" s="8" t="s">
        <v>30</v>
      </c>
      <c r="C10" s="8">
        <v>9.0</v>
      </c>
      <c r="D10" s="19">
        <v>0.88</v>
      </c>
      <c r="E10" s="20">
        <v>1.37</v>
      </c>
      <c r="F10" s="8">
        <v>0.005</v>
      </c>
      <c r="G10" s="21">
        <v>142.549053732</v>
      </c>
      <c r="H10" s="22">
        <f t="shared" si="1"/>
        <v>0.389</v>
      </c>
      <c r="I10" s="22">
        <f t="shared" si="2"/>
        <v>2.570694087</v>
      </c>
      <c r="J10" s="22">
        <f t="shared" si="3"/>
        <v>0.6423357664</v>
      </c>
      <c r="K10" s="22">
        <f t="shared" si="4"/>
        <v>0.004506068259</v>
      </c>
      <c r="L10" s="22">
        <f t="shared" si="5"/>
        <v>1.234662703</v>
      </c>
      <c r="M10" s="22">
        <f t="shared" si="6"/>
        <v>0.5</v>
      </c>
      <c r="N10" s="22">
        <f t="shared" si="7"/>
        <v>0.5201424835</v>
      </c>
      <c r="O10" s="22">
        <f t="shared" si="8"/>
        <v>0.3518733578</v>
      </c>
      <c r="P10" s="22">
        <f t="shared" si="9"/>
        <v>1.013428322</v>
      </c>
      <c r="Q10" s="5" t="s">
        <v>50</v>
      </c>
      <c r="R10" s="5" t="s">
        <v>51</v>
      </c>
      <c r="S10" s="6" t="s">
        <v>52</v>
      </c>
      <c r="T10" s="6" t="s">
        <v>53</v>
      </c>
      <c r="U10" s="7" t="s">
        <v>54</v>
      </c>
      <c r="V10" s="7" t="s">
        <v>55</v>
      </c>
      <c r="X10" s="18" t="s">
        <v>38</v>
      </c>
      <c r="Y10" s="17" t="s">
        <v>9</v>
      </c>
      <c r="Z10" s="22">
        <f>AVERAGE(J266,J397)</f>
        <v>1.249529599</v>
      </c>
      <c r="AA10" s="22">
        <f>_xlfn.STDEV.P(J266,J397)</f>
        <v>0.6440874222</v>
      </c>
      <c r="AB10" s="22">
        <f t="shared" si="10"/>
        <v>0.4845360825</v>
      </c>
      <c r="AC10" s="25"/>
      <c r="AD10" s="36" t="s">
        <v>56</v>
      </c>
      <c r="AE10" s="37">
        <f t="shared" ref="AE10:AG10" si="11">AVERAGE(H2,H34)</f>
        <v>0.3501</v>
      </c>
      <c r="AF10" s="38">
        <f t="shared" si="11"/>
        <v>2.892030848</v>
      </c>
      <c r="AG10" s="38">
        <f t="shared" si="11"/>
        <v>0.6779259259</v>
      </c>
      <c r="AH10" s="37">
        <f t="shared" ref="AH10:AJ10" si="12">AVERAGE(H134,H166)</f>
        <v>0.4279</v>
      </c>
      <c r="AI10" s="38">
        <f t="shared" si="12"/>
        <v>2.35646958</v>
      </c>
      <c r="AJ10" s="38">
        <f t="shared" si="12"/>
        <v>1.205147059</v>
      </c>
      <c r="AK10" s="37">
        <f t="shared" ref="AK10:AM10" si="13">AVERAGE(H266,H298)</f>
        <v>0.389</v>
      </c>
      <c r="AL10" s="38">
        <f t="shared" si="13"/>
        <v>2.570694087</v>
      </c>
      <c r="AM10" s="38">
        <f t="shared" si="13"/>
        <v>0.6323507181</v>
      </c>
      <c r="AN10" s="39">
        <f t="shared" ref="AN10:AP10" si="14">AVERAGE(H398,H430)</f>
        <v>0.4668</v>
      </c>
      <c r="AO10" s="38">
        <f t="shared" si="14"/>
        <v>2.142245073</v>
      </c>
      <c r="AP10" s="38">
        <f t="shared" si="14"/>
        <v>1.192307692</v>
      </c>
      <c r="AQ10" s="37">
        <f t="shared" ref="AQ10:AS10" si="15">AVERAGE(H530,H562)</f>
        <v>0.389</v>
      </c>
      <c r="AR10" s="38">
        <f t="shared" si="15"/>
        <v>2.570694087</v>
      </c>
      <c r="AS10" s="38">
        <f t="shared" si="15"/>
        <v>1.422924901</v>
      </c>
    </row>
    <row r="11">
      <c r="A11" s="18" t="s">
        <v>29</v>
      </c>
      <c r="B11" s="8" t="s">
        <v>30</v>
      </c>
      <c r="C11" s="8">
        <v>10.0</v>
      </c>
      <c r="D11" s="19">
        <v>0.88</v>
      </c>
      <c r="E11" s="27">
        <v>1.23</v>
      </c>
      <c r="F11" s="8">
        <v>0.004</v>
      </c>
      <c r="G11" s="21">
        <v>128.030300779999</v>
      </c>
      <c r="H11" s="22">
        <f t="shared" si="1"/>
        <v>0.3112</v>
      </c>
      <c r="I11" s="22">
        <f t="shared" si="2"/>
        <v>3.213367609</v>
      </c>
      <c r="J11" s="22">
        <f t="shared" si="3"/>
        <v>0.7154471545</v>
      </c>
      <c r="K11" s="22">
        <f t="shared" si="4"/>
        <v>0.00558810805</v>
      </c>
      <c r="L11" s="22">
        <f t="shared" si="5"/>
        <v>1.718343225</v>
      </c>
      <c r="M11" s="22">
        <f t="shared" si="6"/>
        <v>0.25</v>
      </c>
      <c r="N11" s="22">
        <f t="shared" si="7"/>
        <v>0.3997013592</v>
      </c>
      <c r="O11" s="22">
        <f t="shared" si="8"/>
        <v>0.4585815137</v>
      </c>
      <c r="P11" s="22">
        <f t="shared" si="9"/>
        <v>1.119761087</v>
      </c>
      <c r="Q11" s="22">
        <f>AVERAGE(E398,E430)</f>
        <v>0.78</v>
      </c>
      <c r="R11" s="22">
        <f>AVERAGE(E497,E529)</f>
        <v>0.78</v>
      </c>
      <c r="S11" s="8">
        <v>0.93</v>
      </c>
      <c r="T11" s="8">
        <v>0.93</v>
      </c>
      <c r="U11" s="22">
        <f>HARMEAN(F398,F430)</f>
        <v>0.006</v>
      </c>
      <c r="V11" s="22">
        <f>HARMEAN(F497,F529)</f>
        <v>0.005090909091</v>
      </c>
      <c r="X11" s="18" t="s">
        <v>39</v>
      </c>
      <c r="Y11" s="17" t="s">
        <v>7</v>
      </c>
      <c r="Z11" s="22">
        <f>AVERAGE(H398,H529)</f>
        <v>0.5057</v>
      </c>
      <c r="AA11" s="22">
        <f>_xlfn.STDEV.P(H398,H529)</f>
        <v>0.0389</v>
      </c>
      <c r="AB11" s="22">
        <f t="shared" si="10"/>
        <v>0.9230769231</v>
      </c>
      <c r="AC11" s="25">
        <f>(AA11-MIN($AA$2:$AA$4))/(MAX($AA$2:$AA$4)-MIN($AA$2:$AA$4))</f>
        <v>0.04271904169</v>
      </c>
      <c r="AD11" s="36" t="s">
        <v>57</v>
      </c>
      <c r="AE11" s="37">
        <f t="shared" ref="AE11:AG11" si="16">AVERAGE(H35,H67)</f>
        <v>0.3501</v>
      </c>
      <c r="AF11" s="38">
        <f t="shared" si="16"/>
        <v>2.892030848</v>
      </c>
      <c r="AG11" s="38">
        <f t="shared" si="16"/>
        <v>0.6075566274</v>
      </c>
      <c r="AH11" s="37">
        <f t="shared" ref="AH11:AJ11" si="17">AVERAGE(H167,H199)</f>
        <v>0.5057</v>
      </c>
      <c r="AI11" s="38">
        <f t="shared" si="17"/>
        <v>1.989227568</v>
      </c>
      <c r="AJ11" s="38">
        <f t="shared" si="17"/>
        <v>0.3906980383</v>
      </c>
      <c r="AK11" s="37">
        <f t="shared" ref="AK11:AM11" si="18">AVERAGE(H299,H331)</f>
        <v>0.4668</v>
      </c>
      <c r="AL11" s="38">
        <f t="shared" si="18"/>
        <v>2.142245073</v>
      </c>
      <c r="AM11" s="38">
        <f t="shared" si="18"/>
        <v>0.4018570613</v>
      </c>
      <c r="AN11" s="37">
        <f t="shared" ref="AN11:AP11" si="19">AVERAGE(H431,H463)</f>
        <v>0.4668</v>
      </c>
      <c r="AO11" s="38">
        <f t="shared" si="19"/>
        <v>2.142245073</v>
      </c>
      <c r="AP11" s="38">
        <f t="shared" si="19"/>
        <v>1.170969275</v>
      </c>
      <c r="AQ11" s="37">
        <f t="shared" ref="AQ11:AS11" si="20">AVERAGE(H563,H595)</f>
        <v>0.4668</v>
      </c>
      <c r="AR11" s="38">
        <f t="shared" si="20"/>
        <v>2.142245073</v>
      </c>
      <c r="AS11" s="38">
        <f t="shared" si="20"/>
        <v>0.4605614358</v>
      </c>
    </row>
    <row r="12">
      <c r="A12" s="18" t="s">
        <v>29</v>
      </c>
      <c r="B12" s="8" t="s">
        <v>30</v>
      </c>
      <c r="C12" s="8">
        <v>11.0</v>
      </c>
      <c r="D12" s="19">
        <v>0.88</v>
      </c>
      <c r="E12" s="20">
        <v>1.41</v>
      </c>
      <c r="F12" s="8">
        <v>0.005</v>
      </c>
      <c r="G12" s="21">
        <v>146.05558654</v>
      </c>
      <c r="H12" s="22">
        <f t="shared" si="1"/>
        <v>0.389</v>
      </c>
      <c r="I12" s="22">
        <f t="shared" si="2"/>
        <v>2.570694087</v>
      </c>
      <c r="J12" s="22">
        <f t="shared" si="3"/>
        <v>0.6241134752</v>
      </c>
      <c r="K12" s="22">
        <f t="shared" si="4"/>
        <v>0.004273122925</v>
      </c>
      <c r="L12" s="22">
        <f t="shared" si="5"/>
        <v>1.205020665</v>
      </c>
      <c r="M12" s="22">
        <f t="shared" si="6"/>
        <v>0.5</v>
      </c>
      <c r="N12" s="22">
        <f t="shared" si="7"/>
        <v>0.5492311219</v>
      </c>
      <c r="O12" s="22">
        <f t="shared" si="8"/>
        <v>0.3452665212</v>
      </c>
      <c r="P12" s="22">
        <f t="shared" si="9"/>
        <v>1.032820748</v>
      </c>
      <c r="X12" s="18" t="s">
        <v>39</v>
      </c>
      <c r="Y12" s="17" t="s">
        <v>8</v>
      </c>
      <c r="Z12" s="22">
        <f>AVERAGE(I398,I529)</f>
        <v>1.989227568</v>
      </c>
      <c r="AA12" s="22">
        <f>_xlfn.STDEV.P(I398,I529)</f>
        <v>0.1530175052</v>
      </c>
      <c r="AB12" s="22">
        <f t="shared" si="10"/>
        <v>0.9230769231</v>
      </c>
      <c r="AC12" s="25"/>
      <c r="AD12" s="36" t="s">
        <v>58</v>
      </c>
      <c r="AE12" s="37">
        <f t="shared" ref="AE12:AG12" si="21">AVERAGE(H68,H100)</f>
        <v>0.3501</v>
      </c>
      <c r="AF12" s="38">
        <f t="shared" si="21"/>
        <v>2.892030848</v>
      </c>
      <c r="AG12" s="38">
        <f t="shared" si="21"/>
        <v>0.5726116534</v>
      </c>
      <c r="AH12" s="37">
        <f t="shared" ref="AH12:AJ12" si="22">AVERAGE(H200,H232)</f>
        <v>0.389</v>
      </c>
      <c r="AI12" s="38">
        <f t="shared" si="22"/>
        <v>3.060350104</v>
      </c>
      <c r="AJ12" s="38">
        <f t="shared" si="22"/>
        <v>1.434782609</v>
      </c>
      <c r="AK12" s="37">
        <f t="shared" ref="AK12:AM12" si="23">AVERAGE(H332,H364)</f>
        <v>0.5446</v>
      </c>
      <c r="AL12" s="38">
        <f t="shared" si="23"/>
        <v>1.874464439</v>
      </c>
      <c r="AM12" s="38">
        <f t="shared" si="23"/>
        <v>0.3536332715</v>
      </c>
      <c r="AN12" s="37">
        <f t="shared" ref="AN12:AP12" si="24">AVERAGE(H464,H496)</f>
        <v>0.3501</v>
      </c>
      <c r="AO12" s="38">
        <f t="shared" si="24"/>
        <v>2.892030848</v>
      </c>
      <c r="AP12" s="38">
        <f t="shared" si="24"/>
        <v>0.4571506035</v>
      </c>
      <c r="AQ12" s="37">
        <f t="shared" ref="AQ12:AS12" si="25">AVERAGE(H596,H628)</f>
        <v>0.4668</v>
      </c>
      <c r="AR12" s="38">
        <f t="shared" si="25"/>
        <v>2.142245073</v>
      </c>
      <c r="AS12" s="38">
        <f t="shared" si="25"/>
        <v>1.156794425</v>
      </c>
    </row>
    <row r="13">
      <c r="A13" s="18" t="s">
        <v>29</v>
      </c>
      <c r="B13" s="8" t="s">
        <v>30</v>
      </c>
      <c r="C13" s="8">
        <v>12.0</v>
      </c>
      <c r="D13" s="19">
        <v>0.88</v>
      </c>
      <c r="E13" s="27">
        <v>1.32</v>
      </c>
      <c r="F13" s="8">
        <v>0.005</v>
      </c>
      <c r="G13" s="21">
        <v>137.051007672</v>
      </c>
      <c r="H13" s="22">
        <f t="shared" si="1"/>
        <v>0.389</v>
      </c>
      <c r="I13" s="22">
        <f t="shared" si="2"/>
        <v>2.570694087</v>
      </c>
      <c r="J13" s="22">
        <f t="shared" si="3"/>
        <v>0.6666666667</v>
      </c>
      <c r="K13" s="22">
        <f t="shared" si="4"/>
        <v>0.004864368953</v>
      </c>
      <c r="L13" s="22">
        <f t="shared" si="5"/>
        <v>1.284193404</v>
      </c>
      <c r="M13" s="22">
        <f t="shared" si="6"/>
        <v>0.5</v>
      </c>
      <c r="N13" s="22">
        <f t="shared" si="7"/>
        <v>0.474533136</v>
      </c>
      <c r="O13" s="22">
        <f t="shared" si="8"/>
        <v>0.362757287</v>
      </c>
      <c r="P13" s="22">
        <f t="shared" si="9"/>
        <v>0.9830220907</v>
      </c>
      <c r="Q13" s="5" t="s">
        <v>59</v>
      </c>
      <c r="R13" s="5" t="s">
        <v>60</v>
      </c>
      <c r="S13" s="6" t="s">
        <v>61</v>
      </c>
      <c r="T13" s="6" t="s">
        <v>62</v>
      </c>
      <c r="U13" s="7" t="s">
        <v>63</v>
      </c>
      <c r="V13" s="7" t="s">
        <v>64</v>
      </c>
      <c r="X13" s="18" t="s">
        <v>39</v>
      </c>
      <c r="Y13" s="17" t="s">
        <v>9</v>
      </c>
      <c r="Z13" s="22">
        <f>AVERAGE(J398,J529)</f>
        <v>1.090834697</v>
      </c>
      <c r="AA13" s="22">
        <f>_xlfn.STDEV.P(J398,J529)</f>
        <v>0.1014729951</v>
      </c>
      <c r="AB13" s="22">
        <f t="shared" si="10"/>
        <v>0.9069767442</v>
      </c>
      <c r="AC13" s="25"/>
      <c r="AD13" s="36" t="s">
        <v>65</v>
      </c>
      <c r="AE13" s="37">
        <f t="shared" ref="AE13:AG13" si="26">AVERAGE(H101,H133)</f>
        <v>0.2334</v>
      </c>
      <c r="AF13" s="38">
        <f t="shared" si="26"/>
        <v>4.284490146</v>
      </c>
      <c r="AG13" s="38">
        <f t="shared" si="26"/>
        <v>0.6568627451</v>
      </c>
      <c r="AH13" s="37">
        <f t="shared" ref="AH13:AJ13" si="27">AVERAGE(H233,H265)</f>
        <v>0.3112</v>
      </c>
      <c r="AI13" s="38">
        <f t="shared" si="27"/>
        <v>3.427592117</v>
      </c>
      <c r="AJ13" s="38">
        <f t="shared" si="27"/>
        <v>1.686666667</v>
      </c>
      <c r="AK13" s="37">
        <f t="shared" ref="AK13:AM13" si="28">AVERAGE(H365,H397)</f>
        <v>0.2723</v>
      </c>
      <c r="AL13" s="38">
        <f t="shared" si="28"/>
        <v>3.748928877</v>
      </c>
      <c r="AM13" s="38">
        <f t="shared" si="28"/>
        <v>1.81935753</v>
      </c>
      <c r="AN13" s="37">
        <f t="shared" ref="AN13:AP13" si="29">AVERAGE(H497,H529)</f>
        <v>0.4279</v>
      </c>
      <c r="AO13" s="38">
        <f t="shared" si="29"/>
        <v>2.524788836</v>
      </c>
      <c r="AP13" s="38">
        <f t="shared" si="29"/>
        <v>1.244680851</v>
      </c>
      <c r="AQ13" s="37">
        <f t="shared" ref="AQ13:AS13" si="30">AVERAGE(H629,H661)</f>
        <v>0.3501</v>
      </c>
      <c r="AR13" s="38">
        <f t="shared" si="30"/>
        <v>2.892030848</v>
      </c>
      <c r="AS13" s="38">
        <f t="shared" si="30"/>
        <v>0.6002337359</v>
      </c>
    </row>
    <row r="14">
      <c r="A14" s="18" t="s">
        <v>29</v>
      </c>
      <c r="B14" s="8" t="s">
        <v>30</v>
      </c>
      <c r="C14" s="8">
        <v>13.0</v>
      </c>
      <c r="D14" s="19">
        <v>0.88</v>
      </c>
      <c r="E14" s="20">
        <v>1.2</v>
      </c>
      <c r="F14" s="8">
        <v>0.004</v>
      </c>
      <c r="G14" s="21">
        <v>124.33309923</v>
      </c>
      <c r="H14" s="22">
        <f t="shared" si="1"/>
        <v>0.3112</v>
      </c>
      <c r="I14" s="22">
        <f t="shared" si="2"/>
        <v>3.213367609</v>
      </c>
      <c r="J14" s="22">
        <f t="shared" si="3"/>
        <v>0.7333333333</v>
      </c>
      <c r="K14" s="22">
        <f t="shared" si="4"/>
        <v>0.00589813443</v>
      </c>
      <c r="L14" s="22">
        <f t="shared" si="5"/>
        <v>1.769440329</v>
      </c>
      <c r="M14" s="22">
        <f t="shared" si="6"/>
        <v>0.25</v>
      </c>
      <c r="N14" s="22">
        <f t="shared" si="7"/>
        <v>0.3690310176</v>
      </c>
      <c r="O14" s="22">
        <f t="shared" si="8"/>
        <v>0.4688550952</v>
      </c>
      <c r="P14" s="22">
        <f t="shared" si="9"/>
        <v>1.095224814</v>
      </c>
      <c r="Q14" s="22">
        <f>AVERAGE(E530,E562)</f>
        <v>0.675</v>
      </c>
      <c r="R14" s="22">
        <f>AVERAGE(E629,E661)</f>
        <v>1.605</v>
      </c>
      <c r="S14" s="8">
        <v>0.96</v>
      </c>
      <c r="T14" s="8">
        <v>0.96</v>
      </c>
      <c r="U14" s="22">
        <f>HARMEAN(F530,F562)</f>
        <v>0.005</v>
      </c>
      <c r="V14" s="22">
        <f>HARMEAN(F629,F661)</f>
        <v>0.004444444444</v>
      </c>
      <c r="X14" s="18" t="s">
        <v>40</v>
      </c>
      <c r="Y14" s="17" t="s">
        <v>7</v>
      </c>
      <c r="Z14" s="22">
        <f>AVERAGE(H530,H661)</f>
        <v>0.3501</v>
      </c>
      <c r="AA14" s="22">
        <f>_xlfn.STDEV.P(H530,H661)</f>
        <v>0.0389</v>
      </c>
      <c r="AB14" s="22">
        <f t="shared" si="10"/>
        <v>0.8888888889</v>
      </c>
      <c r="AC14" s="25">
        <f>(AA14-MIN($AA$2:$AA$4))/(MAX($AA$2:$AA$4)-MIN($AA$2:$AA$4))</f>
        <v>0.04271904169</v>
      </c>
      <c r="AE14" s="22">
        <f t="shared" ref="AE14:AF14" si="31">100*(AE13-AE10)/AE10</f>
        <v>-33.33333333</v>
      </c>
      <c r="AF14" s="22">
        <f t="shared" si="31"/>
        <v>48.14814815</v>
      </c>
      <c r="AH14" s="22">
        <f t="shared" ref="AH14:AI14" si="32">100*(AH13-AH10)/AH10</f>
        <v>-27.27272727</v>
      </c>
      <c r="AI14" s="22">
        <f t="shared" si="32"/>
        <v>45.45454545</v>
      </c>
      <c r="AK14" s="22">
        <f t="shared" ref="AK14:AL14" si="33">100*(AK13-AK10)/AK10</f>
        <v>-30</v>
      </c>
      <c r="AL14" s="22">
        <f t="shared" si="33"/>
        <v>45.83333333</v>
      </c>
      <c r="AN14" s="22">
        <f t="shared" ref="AN14:AO14" si="34">100*(AN13-AN10)/AN10</f>
        <v>-8.333333333</v>
      </c>
      <c r="AO14" s="22">
        <f t="shared" si="34"/>
        <v>17.85714286</v>
      </c>
      <c r="AQ14" s="22">
        <f t="shared" ref="AQ14:AR14" si="35">100*(AQ13-AQ10)/AQ10</f>
        <v>-10</v>
      </c>
      <c r="AR14" s="22">
        <f t="shared" si="35"/>
        <v>12.5</v>
      </c>
    </row>
    <row r="15">
      <c r="A15" s="18" t="s">
        <v>29</v>
      </c>
      <c r="B15" s="8" t="s">
        <v>30</v>
      </c>
      <c r="C15" s="8">
        <v>14.0</v>
      </c>
      <c r="D15" s="19">
        <v>0.88</v>
      </c>
      <c r="E15" s="27">
        <v>1.43</v>
      </c>
      <c r="F15" s="8">
        <v>0.005</v>
      </c>
      <c r="G15" s="21">
        <v>147.973500789</v>
      </c>
      <c r="H15" s="22">
        <f t="shared" si="1"/>
        <v>0.389</v>
      </c>
      <c r="I15" s="22">
        <f t="shared" si="2"/>
        <v>2.570694087</v>
      </c>
      <c r="J15" s="22">
        <f t="shared" si="3"/>
        <v>0.6153846154</v>
      </c>
      <c r="K15" s="22">
        <f t="shared" si="4"/>
        <v>0.004158748777</v>
      </c>
      <c r="L15" s="22">
        <f t="shared" si="5"/>
        <v>1.18940215</v>
      </c>
      <c r="M15" s="22">
        <f t="shared" si="6"/>
        <v>0.5</v>
      </c>
      <c r="N15" s="22">
        <f t="shared" si="7"/>
        <v>0.5651412865</v>
      </c>
      <c r="O15" s="22">
        <f t="shared" si="8"/>
        <v>0.341756776</v>
      </c>
      <c r="P15" s="22">
        <f t="shared" si="9"/>
        <v>1.043427524</v>
      </c>
      <c r="X15" s="18" t="s">
        <v>40</v>
      </c>
      <c r="Y15" s="17" t="s">
        <v>8</v>
      </c>
      <c r="Z15" s="22">
        <f>AVERAGE(I530,I661)</f>
        <v>2.892030848</v>
      </c>
      <c r="AA15" s="22">
        <f>_xlfn.STDEV.P(I530,I661)</f>
        <v>0.3213367609</v>
      </c>
      <c r="AB15" s="22">
        <f t="shared" si="10"/>
        <v>0.8888888889</v>
      </c>
      <c r="AC15" s="25"/>
    </row>
    <row r="16">
      <c r="A16" s="18" t="s">
        <v>29</v>
      </c>
      <c r="B16" s="8" t="s">
        <v>30</v>
      </c>
      <c r="C16" s="8">
        <v>15.0</v>
      </c>
      <c r="D16" s="19">
        <v>0.88</v>
      </c>
      <c r="E16" s="20">
        <v>1.62</v>
      </c>
      <c r="F16" s="8">
        <v>0.006</v>
      </c>
      <c r="G16" s="21">
        <v>167.410106128</v>
      </c>
      <c r="H16" s="22">
        <f t="shared" si="1"/>
        <v>0.4668</v>
      </c>
      <c r="I16" s="22">
        <f t="shared" si="2"/>
        <v>2.142245073</v>
      </c>
      <c r="J16" s="22">
        <f t="shared" si="3"/>
        <v>0.5432098765</v>
      </c>
      <c r="K16" s="22">
        <f t="shared" si="4"/>
        <v>0.00324478545</v>
      </c>
      <c r="L16" s="22">
        <f t="shared" si="5"/>
        <v>0.8760920715</v>
      </c>
      <c r="M16" s="22">
        <f t="shared" si="6"/>
        <v>0.75</v>
      </c>
      <c r="N16" s="22">
        <f t="shared" si="7"/>
        <v>0.7263787294</v>
      </c>
      <c r="O16" s="22">
        <f t="shared" si="8"/>
        <v>0.2655753825</v>
      </c>
      <c r="P16" s="22">
        <f t="shared" si="9"/>
        <v>0.9865021311</v>
      </c>
      <c r="X16" s="18" t="s">
        <v>40</v>
      </c>
      <c r="Y16" s="17" t="s">
        <v>9</v>
      </c>
      <c r="Z16" s="22">
        <f>AVERAGE(J530,J661)</f>
        <v>1.013532969</v>
      </c>
      <c r="AA16" s="22">
        <f>_xlfn.STDEV.P(J530,J661)</f>
        <v>0.3777713792</v>
      </c>
      <c r="AB16" s="22">
        <f t="shared" si="10"/>
        <v>0.6272727273</v>
      </c>
      <c r="AC16" s="25"/>
    </row>
    <row r="17">
      <c r="A17" s="18" t="s">
        <v>29</v>
      </c>
      <c r="B17" s="8" t="s">
        <v>30</v>
      </c>
      <c r="C17" s="8">
        <v>16.0</v>
      </c>
      <c r="D17" s="19">
        <v>0.88</v>
      </c>
      <c r="E17" s="27">
        <v>1.37</v>
      </c>
      <c r="F17" s="8">
        <v>0.005</v>
      </c>
      <c r="G17" s="21">
        <v>142.220525973999</v>
      </c>
      <c r="H17" s="22">
        <f t="shared" si="1"/>
        <v>0.389</v>
      </c>
      <c r="I17" s="22">
        <f t="shared" si="2"/>
        <v>2.570694087</v>
      </c>
      <c r="J17" s="22">
        <f t="shared" si="3"/>
        <v>0.6423357664</v>
      </c>
      <c r="K17" s="22">
        <f t="shared" si="4"/>
        <v>0.004516477225</v>
      </c>
      <c r="L17" s="22">
        <f t="shared" si="5"/>
        <v>1.23751476</v>
      </c>
      <c r="M17" s="22">
        <f t="shared" si="6"/>
        <v>0.5</v>
      </c>
      <c r="N17" s="22">
        <f t="shared" si="7"/>
        <v>0.5174171632</v>
      </c>
      <c r="O17" s="22">
        <f t="shared" si="8"/>
        <v>0.3525053314</v>
      </c>
      <c r="P17" s="22">
        <f t="shared" si="9"/>
        <v>1.011611442</v>
      </c>
      <c r="Q17" s="40" t="s">
        <v>66</v>
      </c>
      <c r="R17" s="41" t="s">
        <v>67</v>
      </c>
      <c r="S17" s="40" t="s">
        <v>68</v>
      </c>
      <c r="T17" s="40" t="s">
        <v>69</v>
      </c>
      <c r="U17" s="40" t="s">
        <v>70</v>
      </c>
      <c r="V17" s="40" t="s">
        <v>71</v>
      </c>
      <c r="AE17" s="42" t="s">
        <v>29</v>
      </c>
    </row>
    <row r="18">
      <c r="A18" s="18" t="s">
        <v>29</v>
      </c>
      <c r="B18" s="8" t="s">
        <v>30</v>
      </c>
      <c r="C18" s="8">
        <v>17.0</v>
      </c>
      <c r="D18" s="19">
        <v>0.88</v>
      </c>
      <c r="E18" s="20">
        <v>1.25</v>
      </c>
      <c r="F18" s="8">
        <v>0.004</v>
      </c>
      <c r="G18" s="21">
        <v>129.464370373</v>
      </c>
      <c r="H18" s="22">
        <f t="shared" si="1"/>
        <v>0.3112</v>
      </c>
      <c r="I18" s="22">
        <f t="shared" si="2"/>
        <v>3.213367609</v>
      </c>
      <c r="J18" s="22">
        <f t="shared" si="3"/>
        <v>0.704</v>
      </c>
      <c r="K18" s="22">
        <f t="shared" si="4"/>
        <v>0.005437789548</v>
      </c>
      <c r="L18" s="22">
        <f t="shared" si="5"/>
        <v>1.699309234</v>
      </c>
      <c r="M18" s="22">
        <f t="shared" si="6"/>
        <v>0.25</v>
      </c>
      <c r="N18" s="22">
        <f t="shared" si="7"/>
        <v>0.4115977634</v>
      </c>
      <c r="O18" s="22">
        <f t="shared" si="8"/>
        <v>0.4547167647</v>
      </c>
      <c r="P18" s="22">
        <f t="shared" si="9"/>
        <v>1.129278211</v>
      </c>
      <c r="Q18" s="18" t="s">
        <v>29</v>
      </c>
      <c r="R18" s="36" t="s">
        <v>56</v>
      </c>
      <c r="S18" s="38">
        <f>AVERAGE(K2,K34)</f>
        <v>0.005021419365</v>
      </c>
      <c r="T18" s="38">
        <f>MEDIAN(K2,K34)</f>
        <v>0.005021419365</v>
      </c>
      <c r="U18" s="38">
        <f>AVERAGE(L2,L34)</f>
        <v>1.470831457</v>
      </c>
      <c r="V18" s="38">
        <f>MEDIAN(L2,L34)</f>
        <v>1.470831457</v>
      </c>
      <c r="X18" s="43" t="s">
        <v>22</v>
      </c>
      <c r="Y18" s="44" t="s">
        <v>72</v>
      </c>
      <c r="AA18" s="43" t="s">
        <v>22</v>
      </c>
      <c r="AB18" s="41" t="s">
        <v>10</v>
      </c>
      <c r="AC18" s="41" t="s">
        <v>11</v>
      </c>
      <c r="AE18" s="8" t="s">
        <v>73</v>
      </c>
      <c r="AF18" s="8" t="s">
        <v>74</v>
      </c>
      <c r="AG18" s="17" t="s">
        <v>75</v>
      </c>
      <c r="AH18" s="17" t="s">
        <v>76</v>
      </c>
      <c r="AI18" s="17" t="s">
        <v>77</v>
      </c>
      <c r="AJ18" s="17" t="s">
        <v>78</v>
      </c>
      <c r="AK18" s="17" t="s">
        <v>79</v>
      </c>
    </row>
    <row r="19">
      <c r="A19" s="18" t="s">
        <v>29</v>
      </c>
      <c r="B19" s="8" t="s">
        <v>30</v>
      </c>
      <c r="C19" s="8">
        <v>18.0</v>
      </c>
      <c r="D19" s="19">
        <v>0.88</v>
      </c>
      <c r="E19" s="27">
        <v>1.8</v>
      </c>
      <c r="F19" s="8">
        <v>0.006</v>
      </c>
      <c r="G19" s="21">
        <v>185.997183771</v>
      </c>
      <c r="H19" s="22">
        <f t="shared" si="1"/>
        <v>0.4668</v>
      </c>
      <c r="I19" s="22">
        <f t="shared" si="2"/>
        <v>2.142245073</v>
      </c>
      <c r="J19" s="22">
        <f t="shared" si="3"/>
        <v>0.4888888889</v>
      </c>
      <c r="K19" s="22">
        <f t="shared" si="4"/>
        <v>0.002628474684</v>
      </c>
      <c r="L19" s="22">
        <f t="shared" si="5"/>
        <v>0.7885424053</v>
      </c>
      <c r="M19" s="22">
        <f t="shared" si="6"/>
        <v>0.75</v>
      </c>
      <c r="N19" s="22">
        <f t="shared" si="7"/>
        <v>0.880568868</v>
      </c>
      <c r="O19" s="22">
        <f t="shared" si="8"/>
        <v>0.2438005325</v>
      </c>
      <c r="P19" s="22">
        <f t="shared" si="9"/>
        <v>1.074610782</v>
      </c>
      <c r="Q19" s="18" t="s">
        <v>29</v>
      </c>
      <c r="R19" s="36" t="s">
        <v>57</v>
      </c>
      <c r="S19" s="38">
        <f>AVERAGE(K35,K67)</f>
        <v>0.004958269562</v>
      </c>
      <c r="T19" s="38">
        <f>MEDIAN(K35,K67)</f>
        <v>0.004958269562</v>
      </c>
      <c r="U19" s="38">
        <f>AVERAGE(L35,L67)</f>
        <v>1.619212767</v>
      </c>
      <c r="V19" s="38">
        <f>MEDIAN(L35,L67)</f>
        <v>1.619212767</v>
      </c>
      <c r="X19" s="18" t="s">
        <v>29</v>
      </c>
      <c r="Y19" s="26">
        <f>AVERAGE(O2,O133)</f>
        <v>0.5599366678</v>
      </c>
      <c r="AA19" s="18" t="s">
        <v>29</v>
      </c>
      <c r="AB19" s="22">
        <f>AVERAGE(S18,S21)</f>
        <v>0.0063714614</v>
      </c>
      <c r="AC19" s="22">
        <f>AVERAGE(U18,U21)</f>
        <v>2.459287917</v>
      </c>
      <c r="AE19" s="22">
        <f t="shared" ref="AE19:AE51" si="38">E2/F2</f>
        <v>270</v>
      </c>
      <c r="AF19" s="22">
        <f t="shared" ref="AF19:AF51" si="39">E101/F101</f>
        <v>440</v>
      </c>
      <c r="AG19" s="22">
        <f t="shared" ref="AG19:AH19" si="36">100*(AE13-AE10)/AE10</f>
        <v>-33.33333333</v>
      </c>
      <c r="AH19" s="22">
        <f t="shared" si="36"/>
        <v>48.14814815</v>
      </c>
      <c r="AI19" s="22">
        <f>100*(R2-Q2)/Q2</f>
        <v>3.076923077</v>
      </c>
      <c r="AJ19" s="22">
        <f t="shared" ref="AJ19:AK19" si="37">(2*(S2*U2))/(S2+U2)</f>
        <v>0.008844221106</v>
      </c>
      <c r="AK19" s="22">
        <f t="shared" si="37"/>
        <v>0.005979614949</v>
      </c>
    </row>
    <row r="20">
      <c r="A20" s="18" t="s">
        <v>29</v>
      </c>
      <c r="B20" s="8" t="s">
        <v>30</v>
      </c>
      <c r="C20" s="8">
        <v>19.0</v>
      </c>
      <c r="D20" s="19">
        <v>0.88</v>
      </c>
      <c r="E20" s="20">
        <v>1.51</v>
      </c>
      <c r="F20" s="8">
        <v>0.005</v>
      </c>
      <c r="G20" s="21">
        <v>156.129321518999</v>
      </c>
      <c r="H20" s="22">
        <f t="shared" si="1"/>
        <v>0.389</v>
      </c>
      <c r="I20" s="22">
        <f t="shared" si="2"/>
        <v>2.570694087</v>
      </c>
      <c r="J20" s="22">
        <f t="shared" si="3"/>
        <v>0.582781457</v>
      </c>
      <c r="K20" s="22">
        <f t="shared" si="4"/>
        <v>0.003732684234</v>
      </c>
      <c r="L20" s="22">
        <f t="shared" si="5"/>
        <v>1.127270639</v>
      </c>
      <c r="M20" s="22">
        <f t="shared" si="6"/>
        <v>0.5</v>
      </c>
      <c r="N20" s="22">
        <f t="shared" si="7"/>
        <v>0.6327983519</v>
      </c>
      <c r="O20" s="22">
        <f t="shared" si="8"/>
        <v>0.3275956516</v>
      </c>
      <c r="P20" s="22">
        <f t="shared" si="9"/>
        <v>1.088532235</v>
      </c>
      <c r="Q20" s="18" t="s">
        <v>29</v>
      </c>
      <c r="R20" s="36" t="s">
        <v>58</v>
      </c>
      <c r="S20" s="38">
        <f>AVERAGE(K68,K100)</f>
        <v>0.004404678241</v>
      </c>
      <c r="T20" s="38">
        <f>MEDIAN(K68,K100)</f>
        <v>0.004404678241</v>
      </c>
      <c r="U20" s="38">
        <f>AVERAGE(L68,L100)</f>
        <v>1.527910772</v>
      </c>
      <c r="V20" s="38">
        <f>MEDIAN(L68,L100)</f>
        <v>1.527910772</v>
      </c>
      <c r="X20" s="18" t="s">
        <v>31</v>
      </c>
      <c r="Y20" s="26">
        <f>AVERAGE(O134,O265)</f>
        <v>0.5082605001</v>
      </c>
      <c r="AA20" s="18" t="s">
        <v>31</v>
      </c>
      <c r="AB20" s="22">
        <f>AVERAGE(S22,S25)</f>
        <v>0.01217260092</v>
      </c>
      <c r="AC20" s="22">
        <f>AVERAGE(U22,U25)</f>
        <v>1.65190017</v>
      </c>
      <c r="AE20" s="22">
        <f t="shared" si="38"/>
        <v>268</v>
      </c>
      <c r="AF20" s="22">
        <f t="shared" si="39"/>
        <v>463.3333333</v>
      </c>
    </row>
    <row r="21">
      <c r="A21" s="18" t="s">
        <v>29</v>
      </c>
      <c r="B21" s="8" t="s">
        <v>30</v>
      </c>
      <c r="C21" s="8">
        <v>20.0</v>
      </c>
      <c r="D21" s="19">
        <v>0.88</v>
      </c>
      <c r="E21" s="27">
        <v>1.25</v>
      </c>
      <c r="F21" s="8">
        <v>0.004</v>
      </c>
      <c r="G21" s="21">
        <v>129.859539013999</v>
      </c>
      <c r="H21" s="22">
        <f t="shared" si="1"/>
        <v>0.3112</v>
      </c>
      <c r="I21" s="22">
        <f t="shared" si="2"/>
        <v>3.213367609</v>
      </c>
      <c r="J21" s="22">
        <f t="shared" si="3"/>
        <v>0.704</v>
      </c>
      <c r="K21" s="22">
        <f t="shared" si="4"/>
        <v>0.0054212421</v>
      </c>
      <c r="L21" s="22">
        <f t="shared" si="5"/>
        <v>1.694138156</v>
      </c>
      <c r="M21" s="22">
        <f t="shared" si="6"/>
        <v>0.25</v>
      </c>
      <c r="N21" s="22">
        <f t="shared" si="7"/>
        <v>0.4148759069</v>
      </c>
      <c r="O21" s="22">
        <f t="shared" si="8"/>
        <v>0.4536632258</v>
      </c>
      <c r="P21" s="22">
        <f t="shared" si="9"/>
        <v>1.131900726</v>
      </c>
      <c r="Q21" s="18" t="s">
        <v>29</v>
      </c>
      <c r="R21" s="36" t="s">
        <v>65</v>
      </c>
      <c r="S21" s="38">
        <f>AVERAGE(K101,K133)</f>
        <v>0.007721503434</v>
      </c>
      <c r="T21" s="38">
        <f>MEDIAN(K101,K133)</f>
        <v>0.007721503434</v>
      </c>
      <c r="U21" s="38">
        <f>AVERAGE(L101,L133)</f>
        <v>3.447744377</v>
      </c>
      <c r="V21" s="38">
        <f>MEDIAN(L101,L133)</f>
        <v>3.447744377</v>
      </c>
      <c r="X21" s="18" t="s">
        <v>38</v>
      </c>
      <c r="Y21" s="26">
        <f>AVERAGE(O266,O397)</f>
        <v>0.644856927</v>
      </c>
      <c r="AA21" s="18" t="s">
        <v>38</v>
      </c>
      <c r="AB21" s="22">
        <f>AVERAGE(S26,S29)</f>
        <v>0.01069958796</v>
      </c>
      <c r="AC21" s="22">
        <f>AVERAGE(U26,U29)</f>
        <v>1.81337681</v>
      </c>
      <c r="AE21" s="22">
        <f t="shared" si="38"/>
        <v>262</v>
      </c>
      <c r="AF21" s="22">
        <f t="shared" si="39"/>
        <v>513.3333333</v>
      </c>
    </row>
    <row r="22">
      <c r="A22" s="18" t="s">
        <v>29</v>
      </c>
      <c r="B22" s="8" t="s">
        <v>30</v>
      </c>
      <c r="C22" s="8">
        <v>21.0</v>
      </c>
      <c r="D22" s="19">
        <v>0.88</v>
      </c>
      <c r="E22" s="20">
        <v>1.3</v>
      </c>
      <c r="F22" s="8">
        <v>0.005</v>
      </c>
      <c r="G22" s="21">
        <v>134.770609981999</v>
      </c>
      <c r="H22" s="22">
        <f t="shared" si="1"/>
        <v>0.389</v>
      </c>
      <c r="I22" s="22">
        <f t="shared" si="2"/>
        <v>2.570694087</v>
      </c>
      <c r="J22" s="22">
        <f t="shared" si="3"/>
        <v>0.6769230769</v>
      </c>
      <c r="K22" s="22">
        <f t="shared" si="4"/>
        <v>0.005022779648</v>
      </c>
      <c r="L22" s="22">
        <f t="shared" si="5"/>
        <v>1.305922708</v>
      </c>
      <c r="M22" s="22">
        <f t="shared" si="6"/>
        <v>0.5</v>
      </c>
      <c r="N22" s="22">
        <f t="shared" si="7"/>
        <v>0.4556159698</v>
      </c>
      <c r="O22" s="22">
        <f t="shared" si="8"/>
        <v>0.367471676</v>
      </c>
      <c r="P22" s="22">
        <f t="shared" si="9"/>
        <v>0.9704106466</v>
      </c>
      <c r="Q22" s="18" t="s">
        <v>31</v>
      </c>
      <c r="R22" s="36" t="s">
        <v>56</v>
      </c>
      <c r="S22" s="38">
        <f>AVERAGE(K134,K166)</f>
        <v>0.007823591225</v>
      </c>
      <c r="T22" s="38">
        <f>MEDIAN(K134,K166)</f>
        <v>0.007823591225</v>
      </c>
      <c r="U22" s="38">
        <f>AVERAGE(L134,L166)</f>
        <v>1.040179109</v>
      </c>
      <c r="V22" s="38">
        <f>MEDIAN(L134,L166)</f>
        <v>1.040179109</v>
      </c>
      <c r="X22" s="18" t="s">
        <v>39</v>
      </c>
      <c r="Y22" s="26">
        <f>AVERAGE(O398,O529)</f>
        <v>0.4826797067</v>
      </c>
      <c r="AA22" s="18" t="s">
        <v>39</v>
      </c>
      <c r="AB22" s="22">
        <f>AVERAGE(S30,S33)</f>
        <v>0.005605341587</v>
      </c>
      <c r="AC22" s="22">
        <f>AVERAGE(U30,U33)</f>
        <v>0.783118762</v>
      </c>
      <c r="AE22" s="22">
        <f t="shared" si="38"/>
        <v>295</v>
      </c>
      <c r="AF22" s="22">
        <f t="shared" si="39"/>
        <v>546.6666667</v>
      </c>
    </row>
    <row r="23">
      <c r="A23" s="18" t="s">
        <v>29</v>
      </c>
      <c r="B23" s="8" t="s">
        <v>30</v>
      </c>
      <c r="C23" s="8">
        <v>22.0</v>
      </c>
      <c r="D23" s="19">
        <v>0.88</v>
      </c>
      <c r="E23" s="27">
        <v>1.49</v>
      </c>
      <c r="F23" s="8">
        <v>0.005</v>
      </c>
      <c r="G23" s="21">
        <v>154.141777228</v>
      </c>
      <c r="H23" s="22">
        <f t="shared" si="1"/>
        <v>0.389</v>
      </c>
      <c r="I23" s="22">
        <f t="shared" si="2"/>
        <v>2.570694087</v>
      </c>
      <c r="J23" s="22">
        <f t="shared" si="3"/>
        <v>0.5906040268</v>
      </c>
      <c r="K23" s="22">
        <f t="shared" si="4"/>
        <v>0.003831563626</v>
      </c>
      <c r="L23" s="22">
        <f t="shared" si="5"/>
        <v>1.14180596</v>
      </c>
      <c r="M23" s="22">
        <f t="shared" si="6"/>
        <v>0.5</v>
      </c>
      <c r="N23" s="22">
        <f t="shared" si="7"/>
        <v>0.6163105675</v>
      </c>
      <c r="O23" s="22">
        <f t="shared" si="8"/>
        <v>0.3309374144</v>
      </c>
      <c r="P23" s="22">
        <f t="shared" si="9"/>
        <v>1.077540378</v>
      </c>
      <c r="Q23" s="18" t="s">
        <v>31</v>
      </c>
      <c r="R23" s="36" t="s">
        <v>57</v>
      </c>
      <c r="S23" s="38">
        <f>AVERAGE(K167,K199)</f>
        <v>0.002064594528</v>
      </c>
      <c r="T23" s="38">
        <f>MEDIAN(K167,K199)</f>
        <v>0.002064594528</v>
      </c>
      <c r="U23" s="38">
        <f>AVERAGE(L167,L199)</f>
        <v>0.7189543913</v>
      </c>
      <c r="V23" s="38">
        <f>MEDIAN(L167,L199)</f>
        <v>0.7189543913</v>
      </c>
      <c r="X23" s="18" t="s">
        <v>40</v>
      </c>
      <c r="Y23" s="26">
        <f>AVERAGE(O530,O661)</f>
        <v>0.6999846038</v>
      </c>
      <c r="AA23" s="18" t="s">
        <v>40</v>
      </c>
      <c r="AB23" s="22">
        <f>AVERAGE(S34,S37)</f>
        <v>0.005812308792</v>
      </c>
      <c r="AC23" s="22">
        <f>AVERAGE(U34,U37)</f>
        <v>1.223977265</v>
      </c>
      <c r="AE23" s="22">
        <f t="shared" si="38"/>
        <v>280</v>
      </c>
      <c r="AF23" s="22">
        <f t="shared" si="39"/>
        <v>470</v>
      </c>
    </row>
    <row r="24">
      <c r="A24" s="18" t="s">
        <v>29</v>
      </c>
      <c r="B24" s="8" t="s">
        <v>30</v>
      </c>
      <c r="C24" s="8">
        <v>23.0</v>
      </c>
      <c r="D24" s="19">
        <v>0.88</v>
      </c>
      <c r="E24" s="20">
        <v>1.41</v>
      </c>
      <c r="F24" s="8">
        <v>0.005</v>
      </c>
      <c r="G24" s="21">
        <v>146.058117061999</v>
      </c>
      <c r="H24" s="22">
        <f t="shared" si="1"/>
        <v>0.389</v>
      </c>
      <c r="I24" s="22">
        <f t="shared" si="2"/>
        <v>2.570694087</v>
      </c>
      <c r="J24" s="22">
        <f t="shared" si="3"/>
        <v>0.6241134752</v>
      </c>
      <c r="K24" s="22">
        <f t="shared" si="4"/>
        <v>0.004273048891</v>
      </c>
      <c r="L24" s="22">
        <f t="shared" si="5"/>
        <v>1.204999787</v>
      </c>
      <c r="M24" s="22">
        <f t="shared" si="6"/>
        <v>0.5</v>
      </c>
      <c r="N24" s="22">
        <f t="shared" si="7"/>
        <v>0.549252114</v>
      </c>
      <c r="O24" s="22">
        <f t="shared" si="8"/>
        <v>0.3452618429</v>
      </c>
      <c r="P24" s="22">
        <f t="shared" si="9"/>
        <v>1.032834743</v>
      </c>
      <c r="Q24" s="18" t="s">
        <v>31</v>
      </c>
      <c r="R24" s="36" t="s">
        <v>58</v>
      </c>
      <c r="S24" s="38">
        <f>AVERAGE(K200,K232)</f>
        <v>0.01229555576</v>
      </c>
      <c r="T24" s="38">
        <f>MEDIAN(K200,K232)</f>
        <v>0.01229555576</v>
      </c>
      <c r="U24" s="38">
        <f>AVERAGE(L200,L232)</f>
        <v>1.83187469</v>
      </c>
      <c r="V24" s="38">
        <f>MEDIAN(L200,L232)</f>
        <v>1.83187469</v>
      </c>
      <c r="AE24" s="22">
        <f t="shared" si="38"/>
        <v>284</v>
      </c>
      <c r="AF24" s="22">
        <f t="shared" si="39"/>
        <v>420</v>
      </c>
    </row>
    <row r="25">
      <c r="A25" s="18" t="s">
        <v>29</v>
      </c>
      <c r="B25" s="8" t="s">
        <v>30</v>
      </c>
      <c r="C25" s="8">
        <v>24.0</v>
      </c>
      <c r="D25" s="19">
        <v>0.88</v>
      </c>
      <c r="E25" s="27">
        <v>1.59</v>
      </c>
      <c r="F25" s="8">
        <v>0.006</v>
      </c>
      <c r="G25" s="21">
        <v>165.044286162999</v>
      </c>
      <c r="H25" s="22">
        <f t="shared" si="1"/>
        <v>0.4668</v>
      </c>
      <c r="I25" s="22">
        <f t="shared" si="2"/>
        <v>2.142245073</v>
      </c>
      <c r="J25" s="22">
        <f t="shared" si="3"/>
        <v>0.5534591195</v>
      </c>
      <c r="K25" s="22">
        <f t="shared" si="4"/>
        <v>0.003353397639</v>
      </c>
      <c r="L25" s="22">
        <f t="shared" si="5"/>
        <v>0.8886503743</v>
      </c>
      <c r="M25" s="22">
        <f t="shared" si="6"/>
        <v>0.75</v>
      </c>
      <c r="N25" s="22">
        <f t="shared" si="7"/>
        <v>0.706752938</v>
      </c>
      <c r="O25" s="22">
        <f t="shared" si="8"/>
        <v>0.2686292089</v>
      </c>
      <c r="P25" s="22">
        <f t="shared" si="9"/>
        <v>0.9752873932</v>
      </c>
      <c r="Q25" s="18" t="s">
        <v>31</v>
      </c>
      <c r="R25" s="36" t="s">
        <v>65</v>
      </c>
      <c r="S25" s="38">
        <f>AVERAGE(K233,K265)</f>
        <v>0.01652161062</v>
      </c>
      <c r="T25" s="38">
        <f>MEDIAN(K33,K265)</f>
        <v>0.01539075683</v>
      </c>
      <c r="U25" s="38">
        <f>AVERAGE(L233,L265)</f>
        <v>2.263621231</v>
      </c>
      <c r="V25" s="38">
        <f>MEDIAN(L233,L265)</f>
        <v>2.263621231</v>
      </c>
      <c r="AE25" s="22">
        <f t="shared" si="38"/>
        <v>272</v>
      </c>
      <c r="AF25" s="22">
        <f t="shared" si="39"/>
        <v>496.6666667</v>
      </c>
    </row>
    <row r="26">
      <c r="A26" s="18" t="s">
        <v>29</v>
      </c>
      <c r="B26" s="8" t="s">
        <v>30</v>
      </c>
      <c r="C26" s="8">
        <v>25.0</v>
      </c>
      <c r="D26" s="19">
        <v>0.88</v>
      </c>
      <c r="E26" s="20">
        <v>1.93</v>
      </c>
      <c r="F26" s="8">
        <v>0.007</v>
      </c>
      <c r="G26" s="21">
        <v>200.3941857</v>
      </c>
      <c r="H26" s="22">
        <f t="shared" si="1"/>
        <v>0.5446</v>
      </c>
      <c r="I26" s="22">
        <f t="shared" si="2"/>
        <v>1.836210062</v>
      </c>
      <c r="J26" s="22">
        <f t="shared" si="3"/>
        <v>0.4559585492</v>
      </c>
      <c r="K26" s="22">
        <f t="shared" si="4"/>
        <v>0.002275308276</v>
      </c>
      <c r="L26" s="22">
        <f t="shared" si="5"/>
        <v>0.6273349961</v>
      </c>
      <c r="M26" s="22">
        <f t="shared" si="6"/>
        <v>1</v>
      </c>
      <c r="N26" s="22">
        <f t="shared" si="7"/>
        <v>1</v>
      </c>
      <c r="O26" s="22">
        <f t="shared" si="8"/>
        <v>0.200586615</v>
      </c>
      <c r="P26" s="22">
        <f t="shared" si="9"/>
        <v>1</v>
      </c>
      <c r="Q26" s="8" t="s">
        <v>38</v>
      </c>
      <c r="R26" s="36" t="s">
        <v>56</v>
      </c>
      <c r="S26" s="38">
        <f>AVERAGE(K266,K298)</f>
        <v>0.004073781574</v>
      </c>
      <c r="T26" s="38">
        <f>MEDIAN(K266,K298)</f>
        <v>0.004073781574</v>
      </c>
      <c r="U26" s="38">
        <f>AVERAGE(L266,L298)</f>
        <v>1.14446005</v>
      </c>
      <c r="V26" s="38">
        <f>MEDIAN(L266,L298)</f>
        <v>1.14446005</v>
      </c>
      <c r="AE26" s="22">
        <f t="shared" si="38"/>
        <v>298.3333333</v>
      </c>
      <c r="AF26" s="22">
        <f t="shared" si="39"/>
        <v>417.5</v>
      </c>
    </row>
    <row r="27">
      <c r="A27" s="18" t="s">
        <v>29</v>
      </c>
      <c r="B27" s="8" t="s">
        <v>30</v>
      </c>
      <c r="C27" s="8">
        <v>26.0</v>
      </c>
      <c r="D27" s="19">
        <v>0.88</v>
      </c>
      <c r="E27" s="27">
        <v>1.43</v>
      </c>
      <c r="F27" s="8">
        <v>0.005</v>
      </c>
      <c r="G27" s="21">
        <v>148.124120492999</v>
      </c>
      <c r="H27" s="22">
        <f t="shared" si="1"/>
        <v>0.389</v>
      </c>
      <c r="I27" s="22">
        <f t="shared" si="2"/>
        <v>2.570694087</v>
      </c>
      <c r="J27" s="22">
        <f t="shared" si="3"/>
        <v>0.6153846154</v>
      </c>
      <c r="K27" s="22">
        <f t="shared" si="4"/>
        <v>0.004154519962</v>
      </c>
      <c r="L27" s="22">
        <f t="shared" si="5"/>
        <v>1.188192709</v>
      </c>
      <c r="M27" s="22">
        <f t="shared" si="6"/>
        <v>0.5</v>
      </c>
      <c r="N27" s="22">
        <f t="shared" si="7"/>
        <v>0.5663907606</v>
      </c>
      <c r="O27" s="22">
        <f t="shared" si="8"/>
        <v>0.3414841644</v>
      </c>
      <c r="P27" s="22">
        <f t="shared" si="9"/>
        <v>1.044260507</v>
      </c>
      <c r="Q27" s="8" t="s">
        <v>38</v>
      </c>
      <c r="R27" s="36" t="s">
        <v>57</v>
      </c>
      <c r="S27" s="38">
        <f>AVERAGE(K299,K331)</f>
        <v>0.002140385669</v>
      </c>
      <c r="T27" s="38">
        <f>MEDIAN(K299,K331)</f>
        <v>0.002140385669</v>
      </c>
      <c r="U27" s="38">
        <f>AVERAGE(L299,L331)</f>
        <v>0.7899799029</v>
      </c>
      <c r="V27" s="38">
        <f>MEDIAN(L299,L331)</f>
        <v>0.7899799029</v>
      </c>
      <c r="AE27" s="22">
        <f t="shared" si="38"/>
        <v>274</v>
      </c>
      <c r="AF27" s="22">
        <f t="shared" si="39"/>
        <v>456.6666667</v>
      </c>
    </row>
    <row r="28">
      <c r="A28" s="18" t="s">
        <v>29</v>
      </c>
      <c r="B28" s="8" t="s">
        <v>30</v>
      </c>
      <c r="C28" s="8">
        <v>27.0</v>
      </c>
      <c r="D28" s="19">
        <v>0.88</v>
      </c>
      <c r="E28" s="20">
        <v>1.7</v>
      </c>
      <c r="F28" s="8">
        <v>0.006</v>
      </c>
      <c r="G28" s="21">
        <v>176.327540572</v>
      </c>
      <c r="H28" s="22">
        <f t="shared" si="1"/>
        <v>0.4668</v>
      </c>
      <c r="I28" s="22">
        <f t="shared" si="2"/>
        <v>2.142245073</v>
      </c>
      <c r="J28" s="22">
        <f t="shared" si="3"/>
        <v>0.5176470588</v>
      </c>
      <c r="K28" s="22">
        <f t="shared" si="4"/>
        <v>0.002935713032</v>
      </c>
      <c r="L28" s="22">
        <f t="shared" si="5"/>
        <v>0.8317853592</v>
      </c>
      <c r="M28" s="22">
        <f t="shared" si="6"/>
        <v>0.75</v>
      </c>
      <c r="N28" s="22">
        <f t="shared" si="7"/>
        <v>0.8003538039</v>
      </c>
      <c r="O28" s="22">
        <f t="shared" si="8"/>
        <v>0.2546631059</v>
      </c>
      <c r="P28" s="22">
        <f t="shared" si="9"/>
        <v>1.028773602</v>
      </c>
      <c r="Q28" s="8" t="s">
        <v>38</v>
      </c>
      <c r="R28" s="36" t="s">
        <v>58</v>
      </c>
      <c r="S28" s="38">
        <f>AVERAGE(K332,K364)</f>
        <v>0.001675740148</v>
      </c>
      <c r="T28" s="38">
        <f>MEDIAN(K332,K364)</f>
        <v>0.001675740148</v>
      </c>
      <c r="U28" s="38">
        <f>AVERAGE(L332,L364)</f>
        <v>0.6149310624</v>
      </c>
      <c r="V28" s="38">
        <f>MEDIAN(L332,L364)</f>
        <v>0.6149310624</v>
      </c>
      <c r="AE28" s="22">
        <f t="shared" si="38"/>
        <v>307.5</v>
      </c>
      <c r="AF28" s="22">
        <f t="shared" si="39"/>
        <v>543.3333333</v>
      </c>
    </row>
    <row r="29">
      <c r="A29" s="18" t="s">
        <v>29</v>
      </c>
      <c r="B29" s="8" t="s">
        <v>30</v>
      </c>
      <c r="C29" s="8">
        <v>28.0</v>
      </c>
      <c r="D29" s="19">
        <v>0.88</v>
      </c>
      <c r="E29" s="27">
        <v>1.39</v>
      </c>
      <c r="F29" s="8">
        <v>0.005</v>
      </c>
      <c r="G29" s="21">
        <v>144.071523152999</v>
      </c>
      <c r="H29" s="22">
        <f t="shared" si="1"/>
        <v>0.389</v>
      </c>
      <c r="I29" s="22">
        <f t="shared" si="2"/>
        <v>2.570694087</v>
      </c>
      <c r="J29" s="22">
        <f t="shared" si="3"/>
        <v>0.6330935252</v>
      </c>
      <c r="K29" s="22">
        <f t="shared" si="4"/>
        <v>0.004394300215</v>
      </c>
      <c r="L29" s="22">
        <f t="shared" si="5"/>
        <v>1.22161546</v>
      </c>
      <c r="M29" s="22">
        <f t="shared" si="6"/>
        <v>0.5</v>
      </c>
      <c r="N29" s="22">
        <f t="shared" si="7"/>
        <v>0.5327722135</v>
      </c>
      <c r="O29" s="22">
        <f t="shared" si="8"/>
        <v>0.3489739932</v>
      </c>
      <c r="P29" s="22">
        <f t="shared" si="9"/>
        <v>1.021848142</v>
      </c>
      <c r="Q29" s="8" t="s">
        <v>38</v>
      </c>
      <c r="R29" s="36" t="s">
        <v>65</v>
      </c>
      <c r="S29" s="38">
        <f>AVERAGE(K365,K397)</f>
        <v>0.01732539434</v>
      </c>
      <c r="T29" s="38">
        <f>MEDIAN(K365,K397)</f>
        <v>0.01732539434</v>
      </c>
      <c r="U29" s="38">
        <f>AVERAGE(L365,L397)</f>
        <v>2.48229357</v>
      </c>
      <c r="V29" s="38">
        <f>MEDIAN(L365,L397)</f>
        <v>2.48229357</v>
      </c>
      <c r="AE29" s="22">
        <f t="shared" si="38"/>
        <v>282</v>
      </c>
      <c r="AF29" s="22">
        <f t="shared" si="39"/>
        <v>446.6666667</v>
      </c>
    </row>
    <row r="30">
      <c r="A30" s="18" t="s">
        <v>29</v>
      </c>
      <c r="B30" s="8" t="s">
        <v>30</v>
      </c>
      <c r="C30" s="8">
        <v>29.0</v>
      </c>
      <c r="D30" s="19">
        <v>0.88</v>
      </c>
      <c r="E30" s="20">
        <v>1.46</v>
      </c>
      <c r="F30" s="8">
        <v>0.005</v>
      </c>
      <c r="G30" s="21">
        <v>151.480468179999</v>
      </c>
      <c r="H30" s="22">
        <f t="shared" si="1"/>
        <v>0.389</v>
      </c>
      <c r="I30" s="22">
        <f t="shared" si="2"/>
        <v>2.570694087</v>
      </c>
      <c r="J30" s="22">
        <f t="shared" si="3"/>
        <v>0.602739726</v>
      </c>
      <c r="K30" s="22">
        <f t="shared" si="4"/>
        <v>0.003978993023</v>
      </c>
      <c r="L30" s="22">
        <f t="shared" si="5"/>
        <v>1.161865963</v>
      </c>
      <c r="M30" s="22">
        <f t="shared" si="6"/>
        <v>0.5</v>
      </c>
      <c r="N30" s="22">
        <f t="shared" si="7"/>
        <v>0.5942335299</v>
      </c>
      <c r="O30" s="22">
        <f t="shared" si="8"/>
        <v>0.3355202547</v>
      </c>
      <c r="P30" s="22">
        <f t="shared" si="9"/>
        <v>1.062822353</v>
      </c>
      <c r="Q30" s="18" t="s">
        <v>39</v>
      </c>
      <c r="R30" s="36" t="s">
        <v>56</v>
      </c>
      <c r="S30" s="38">
        <f>AVERAGE(K398,K430)</f>
        <v>0.005333055967</v>
      </c>
      <c r="T30" s="38">
        <f>MEDIAN(K398,K430)</f>
        <v>0.005333055967</v>
      </c>
      <c r="U30" s="38">
        <f>AVERAGE(L398,L430)</f>
        <v>0.6932972758</v>
      </c>
      <c r="V30" s="38">
        <f>MEDIAN(L398,L430)</f>
        <v>0.6932972758</v>
      </c>
      <c r="AE30" s="22">
        <f t="shared" si="38"/>
        <v>264</v>
      </c>
      <c r="AF30" s="22">
        <f t="shared" si="39"/>
        <v>546.6666667</v>
      </c>
    </row>
    <row r="31">
      <c r="A31" s="18" t="s">
        <v>29</v>
      </c>
      <c r="B31" s="8" t="s">
        <v>30</v>
      </c>
      <c r="C31" s="8">
        <v>30.0</v>
      </c>
      <c r="D31" s="19">
        <v>0.88</v>
      </c>
      <c r="E31" s="27">
        <v>1.88</v>
      </c>
      <c r="F31" s="8">
        <v>0.007</v>
      </c>
      <c r="G31" s="21">
        <v>195.281820653</v>
      </c>
      <c r="H31" s="22">
        <f t="shared" si="1"/>
        <v>0.5446</v>
      </c>
      <c r="I31" s="22">
        <f t="shared" si="2"/>
        <v>1.836210062</v>
      </c>
      <c r="J31" s="22">
        <f t="shared" si="3"/>
        <v>0.4680851064</v>
      </c>
      <c r="K31" s="22">
        <f t="shared" si="4"/>
        <v>0.002396972257</v>
      </c>
      <c r="L31" s="22">
        <f t="shared" si="5"/>
        <v>0.6437582633</v>
      </c>
      <c r="M31" s="22">
        <f t="shared" si="6"/>
        <v>1</v>
      </c>
      <c r="N31" s="22">
        <f t="shared" si="7"/>
        <v>0.9575900908</v>
      </c>
      <c r="O31" s="22">
        <f t="shared" si="8"/>
        <v>0.2049321929</v>
      </c>
      <c r="P31" s="22">
        <f t="shared" si="9"/>
        <v>0.9787950454</v>
      </c>
      <c r="Q31" s="18" t="s">
        <v>39</v>
      </c>
      <c r="R31" s="36" t="s">
        <v>57</v>
      </c>
      <c r="S31" s="38">
        <f>AVERAGE(K431,K463)</f>
        <v>0.00500104588</v>
      </c>
      <c r="T31" s="38">
        <f>MEDIAN(K431,K463)</f>
        <v>0.00500104588</v>
      </c>
      <c r="U31" s="38">
        <f>AVERAGE(L431,L463)</f>
        <v>0.6607796993</v>
      </c>
      <c r="V31" s="38">
        <f>MEDIAN(L431,L463)</f>
        <v>0.6607796993</v>
      </c>
      <c r="AE31" s="22">
        <f t="shared" si="38"/>
        <v>300</v>
      </c>
      <c r="AF31" s="22">
        <f t="shared" si="39"/>
        <v>443.3333333</v>
      </c>
    </row>
    <row r="32">
      <c r="A32" s="18" t="s">
        <v>29</v>
      </c>
      <c r="B32" s="8" t="s">
        <v>30</v>
      </c>
      <c r="C32" s="8">
        <v>31.0</v>
      </c>
      <c r="D32" s="19">
        <v>0.88</v>
      </c>
      <c r="E32" s="20">
        <v>1.42</v>
      </c>
      <c r="F32" s="8">
        <v>0.005</v>
      </c>
      <c r="G32" s="21">
        <v>146.824889526999</v>
      </c>
      <c r="H32" s="22">
        <f t="shared" si="1"/>
        <v>0.389</v>
      </c>
      <c r="I32" s="22">
        <f t="shared" si="2"/>
        <v>2.570694087</v>
      </c>
      <c r="J32" s="22">
        <f t="shared" si="3"/>
        <v>0.6197183099</v>
      </c>
      <c r="K32" s="22">
        <f t="shared" si="4"/>
        <v>0.004220798748</v>
      </c>
      <c r="L32" s="22">
        <f t="shared" si="5"/>
        <v>1.198706844</v>
      </c>
      <c r="M32" s="22">
        <f t="shared" si="6"/>
        <v>0.5</v>
      </c>
      <c r="N32" s="22">
        <f t="shared" si="7"/>
        <v>0.5556129177</v>
      </c>
      <c r="O32" s="22">
        <f t="shared" si="8"/>
        <v>0.3438500889</v>
      </c>
      <c r="P32" s="22">
        <f t="shared" si="9"/>
        <v>1.037075278</v>
      </c>
      <c r="Q32" s="18" t="s">
        <v>39</v>
      </c>
      <c r="R32" s="36" t="s">
        <v>58</v>
      </c>
      <c r="S32" s="38">
        <f>AVERAGE(K464,K496)</f>
        <v>0.002587081729</v>
      </c>
      <c r="T32" s="38">
        <f>MEDIAN(K464,K496)</f>
        <v>0.002587081729</v>
      </c>
      <c r="U32" s="38">
        <f>AVERAGE(L464,L496)</f>
        <v>1.175219704</v>
      </c>
      <c r="V32" s="38">
        <f>MEDIAN(L464,L496)</f>
        <v>1.175219704</v>
      </c>
      <c r="AE32" s="22">
        <f t="shared" si="38"/>
        <v>286</v>
      </c>
      <c r="AF32" s="22">
        <f t="shared" si="39"/>
        <v>455</v>
      </c>
    </row>
    <row r="33">
      <c r="A33" s="18" t="s">
        <v>29</v>
      </c>
      <c r="B33" s="8" t="s">
        <v>30</v>
      </c>
      <c r="C33" s="8">
        <v>32.0</v>
      </c>
      <c r="D33" s="19">
        <v>0.88</v>
      </c>
      <c r="E33" s="27">
        <v>1.3</v>
      </c>
      <c r="F33" s="8">
        <v>0.005</v>
      </c>
      <c r="G33" s="21">
        <v>134.655584191999</v>
      </c>
      <c r="H33" s="22">
        <f t="shared" si="1"/>
        <v>0.389</v>
      </c>
      <c r="I33" s="22">
        <f t="shared" si="2"/>
        <v>2.570694087</v>
      </c>
      <c r="J33" s="22">
        <f t="shared" si="3"/>
        <v>0.6769230769</v>
      </c>
      <c r="K33" s="22">
        <f t="shared" si="4"/>
        <v>0.005027070218</v>
      </c>
      <c r="L33" s="22">
        <f t="shared" si="5"/>
        <v>1.307038257</v>
      </c>
      <c r="M33" s="22">
        <f t="shared" si="6"/>
        <v>0.5</v>
      </c>
      <c r="N33" s="22">
        <f t="shared" si="7"/>
        <v>0.454661767</v>
      </c>
      <c r="O33" s="22">
        <f t="shared" si="8"/>
        <v>0.3677127234</v>
      </c>
      <c r="P33" s="22">
        <f t="shared" si="9"/>
        <v>0.9697745113</v>
      </c>
      <c r="Q33" s="18" t="s">
        <v>39</v>
      </c>
      <c r="R33" s="36" t="s">
        <v>65</v>
      </c>
      <c r="S33" s="38">
        <f>AVERAGE(K497,K529)</f>
        <v>0.005877627207</v>
      </c>
      <c r="T33" s="38">
        <f>MEDIAN(K497,K529)</f>
        <v>0.005877627207</v>
      </c>
      <c r="U33" s="38">
        <f>AVERAGE(L497,L529)</f>
        <v>0.8729402483</v>
      </c>
      <c r="V33" s="38">
        <f>MEDIAN(L497,L529)</f>
        <v>0.8729402483</v>
      </c>
      <c r="AE33" s="22">
        <f t="shared" si="38"/>
        <v>270</v>
      </c>
      <c r="AF33" s="22">
        <f t="shared" si="39"/>
        <v>533.3333333</v>
      </c>
    </row>
    <row r="34">
      <c r="A34" s="18" t="s">
        <v>29</v>
      </c>
      <c r="B34" s="8" t="s">
        <v>30</v>
      </c>
      <c r="C34" s="8">
        <v>33.0</v>
      </c>
      <c r="D34" s="19">
        <v>0.88</v>
      </c>
      <c r="E34" s="20">
        <v>1.25</v>
      </c>
      <c r="F34" s="8">
        <v>0.004</v>
      </c>
      <c r="G34" s="21">
        <v>130.032423898</v>
      </c>
      <c r="H34" s="22">
        <f t="shared" si="1"/>
        <v>0.3112</v>
      </c>
      <c r="I34" s="22">
        <f t="shared" si="2"/>
        <v>3.213367609</v>
      </c>
      <c r="J34" s="22">
        <f t="shared" si="3"/>
        <v>0.704</v>
      </c>
      <c r="K34" s="22">
        <f t="shared" si="4"/>
        <v>0.005414034276</v>
      </c>
      <c r="L34" s="22">
        <f t="shared" si="5"/>
        <v>1.691885711</v>
      </c>
      <c r="M34" s="22">
        <f t="shared" si="6"/>
        <v>0.25</v>
      </c>
      <c r="N34" s="22">
        <f t="shared" si="7"/>
        <v>0.4163100831</v>
      </c>
      <c r="O34" s="22">
        <f t="shared" si="8"/>
        <v>0.4532038398</v>
      </c>
      <c r="P34" s="22">
        <f t="shared" si="9"/>
        <v>1.133048066</v>
      </c>
      <c r="Q34" s="18" t="s">
        <v>40</v>
      </c>
      <c r="R34" s="36" t="s">
        <v>56</v>
      </c>
      <c r="S34" s="38">
        <f>AVERAGE(K530,K562)</f>
        <v>0.007735645479</v>
      </c>
      <c r="T34" s="38">
        <f>MEDIAN(K530,K562)</f>
        <v>0.007735645479</v>
      </c>
      <c r="U34" s="38">
        <f>AVERAGE(L530,L562)</f>
        <v>1.042767589</v>
      </c>
      <c r="V34" s="38">
        <f>MEDIAN(L530,L562)</f>
        <v>1.042767589</v>
      </c>
      <c r="AE34" s="22">
        <f t="shared" si="38"/>
        <v>274</v>
      </c>
      <c r="AF34" s="22">
        <f t="shared" si="39"/>
        <v>536.6666667</v>
      </c>
    </row>
    <row r="35">
      <c r="A35" s="18" t="s">
        <v>29</v>
      </c>
      <c r="B35" s="8" t="s">
        <v>80</v>
      </c>
      <c r="C35" s="8">
        <v>1.0</v>
      </c>
      <c r="D35" s="19">
        <v>0.88</v>
      </c>
      <c r="E35" s="45">
        <v>1.59</v>
      </c>
      <c r="F35" s="8">
        <v>0.005</v>
      </c>
      <c r="G35" s="21">
        <v>136.427218723999</v>
      </c>
      <c r="H35" s="22">
        <f t="shared" si="1"/>
        <v>0.389</v>
      </c>
      <c r="I35" s="22">
        <f t="shared" si="2"/>
        <v>2.570694087</v>
      </c>
      <c r="J35" s="22">
        <f t="shared" si="3"/>
        <v>0.5534591195</v>
      </c>
      <c r="K35" s="22">
        <f t="shared" si="4"/>
        <v>0.004056808639</v>
      </c>
      <c r="L35" s="22">
        <f t="shared" si="5"/>
        <v>1.290065147</v>
      </c>
      <c r="M35" s="22">
        <f t="shared" si="6"/>
        <v>0.5</v>
      </c>
      <c r="N35" s="22">
        <f t="shared" si="7"/>
        <v>0.46935846</v>
      </c>
      <c r="O35" s="22">
        <f t="shared" si="8"/>
        <v>0.3640348183</v>
      </c>
      <c r="P35" s="22">
        <f t="shared" si="9"/>
        <v>0.9795723067</v>
      </c>
      <c r="Q35" s="18" t="s">
        <v>40</v>
      </c>
      <c r="R35" s="36" t="s">
        <v>57</v>
      </c>
      <c r="S35" s="38">
        <f>AVERAGE(K563,K595)</f>
        <v>0.002110657635</v>
      </c>
      <c r="T35" s="38">
        <f>MEDIAN(K563,K595)</f>
        <v>0.002110657635</v>
      </c>
      <c r="U35" s="38">
        <f>AVERAGE(L563,L595)</f>
        <v>0.732756061</v>
      </c>
      <c r="V35" s="38">
        <f>MEDIAN(L563,L595)</f>
        <v>0.732756061</v>
      </c>
      <c r="AE35" s="22">
        <f t="shared" si="38"/>
        <v>312.5</v>
      </c>
      <c r="AF35" s="22">
        <f t="shared" si="39"/>
        <v>536.6666667</v>
      </c>
    </row>
    <row r="36">
      <c r="A36" s="18" t="s">
        <v>29</v>
      </c>
      <c r="B36" s="8" t="s">
        <v>80</v>
      </c>
      <c r="C36" s="8">
        <v>2.0</v>
      </c>
      <c r="D36" s="19">
        <v>0.88</v>
      </c>
      <c r="E36" s="45">
        <v>1.57</v>
      </c>
      <c r="F36" s="8">
        <v>0.005</v>
      </c>
      <c r="G36" s="21">
        <v>134.997898852999</v>
      </c>
      <c r="H36" s="22">
        <f t="shared" si="1"/>
        <v>0.389</v>
      </c>
      <c r="I36" s="22">
        <f t="shared" si="2"/>
        <v>2.570694087</v>
      </c>
      <c r="J36" s="22">
        <f t="shared" si="3"/>
        <v>0.5605095541</v>
      </c>
      <c r="K36" s="22">
        <f t="shared" si="4"/>
        <v>0.004151987245</v>
      </c>
      <c r="L36" s="22">
        <f t="shared" si="5"/>
        <v>1.303723995</v>
      </c>
      <c r="M36" s="22">
        <f t="shared" si="6"/>
        <v>0.5</v>
      </c>
      <c r="N36" s="22">
        <f t="shared" si="7"/>
        <v>0.4575014573</v>
      </c>
      <c r="O36" s="22">
        <f t="shared" si="8"/>
        <v>0.3669962986</v>
      </c>
      <c r="P36" s="22">
        <f t="shared" si="9"/>
        <v>0.9716676382</v>
      </c>
      <c r="Q36" s="18" t="s">
        <v>40</v>
      </c>
      <c r="R36" s="36" t="s">
        <v>58</v>
      </c>
      <c r="S36" s="38">
        <f>AVERAGE(K596,K628)</f>
        <v>0.005105606507</v>
      </c>
      <c r="T36" s="38">
        <f>MEDIAN(K596,K568)</f>
        <v>0.003197281461</v>
      </c>
      <c r="U36" s="38">
        <f>AVERAGE(L596,L628)</f>
        <v>0.7061297242</v>
      </c>
      <c r="V36" s="38">
        <f>MEDIAN(L596,L628)</f>
        <v>0.7061297242</v>
      </c>
      <c r="AE36" s="22">
        <f t="shared" si="38"/>
        <v>300</v>
      </c>
      <c r="AF36" s="22">
        <f t="shared" si="39"/>
        <v>475</v>
      </c>
    </row>
    <row r="37">
      <c r="A37" s="18" t="s">
        <v>29</v>
      </c>
      <c r="B37" s="8" t="s">
        <v>80</v>
      </c>
      <c r="C37" s="8">
        <v>3.0</v>
      </c>
      <c r="D37" s="19">
        <v>0.88</v>
      </c>
      <c r="E37" s="45">
        <v>1.74</v>
      </c>
      <c r="F37" s="8">
        <v>0.005</v>
      </c>
      <c r="G37" s="21">
        <v>147.647755151999</v>
      </c>
      <c r="H37" s="22">
        <f t="shared" si="1"/>
        <v>0.389</v>
      </c>
      <c r="I37" s="22">
        <f t="shared" si="2"/>
        <v>2.570694087</v>
      </c>
      <c r="J37" s="22">
        <f t="shared" si="3"/>
        <v>0.5057471264</v>
      </c>
      <c r="K37" s="22">
        <f t="shared" si="4"/>
        <v>0.003425362789</v>
      </c>
      <c r="L37" s="22">
        <f t="shared" si="5"/>
        <v>1.192026251</v>
      </c>
      <c r="M37" s="22">
        <f t="shared" si="6"/>
        <v>0.5</v>
      </c>
      <c r="N37" s="22">
        <f t="shared" si="7"/>
        <v>0.5624390454</v>
      </c>
      <c r="O37" s="22">
        <f t="shared" si="8"/>
        <v>0.3423478449</v>
      </c>
      <c r="P37" s="22">
        <f t="shared" si="9"/>
        <v>1.04162603</v>
      </c>
      <c r="Q37" s="18" t="s">
        <v>40</v>
      </c>
      <c r="R37" s="36" t="s">
        <v>65</v>
      </c>
      <c r="S37" s="38">
        <f>AVERAGE(K629,K661)</f>
        <v>0.003888972105</v>
      </c>
      <c r="T37" s="38">
        <f>MEDIAN(K629,K661)</f>
        <v>0.003888972105</v>
      </c>
      <c r="U37" s="38">
        <f>AVERAGE(L629,L661)</f>
        <v>1.40518694</v>
      </c>
      <c r="V37" s="38">
        <f>MEDIAN(L629,L661)</f>
        <v>1.40518694</v>
      </c>
      <c r="AE37" s="22">
        <f t="shared" si="38"/>
        <v>302</v>
      </c>
      <c r="AF37" s="22">
        <f t="shared" si="39"/>
        <v>425</v>
      </c>
    </row>
    <row r="38">
      <c r="A38" s="18" t="s">
        <v>29</v>
      </c>
      <c r="B38" s="8" t="s">
        <v>80</v>
      </c>
      <c r="C38" s="8">
        <v>4.0</v>
      </c>
      <c r="D38" s="19">
        <v>0.88</v>
      </c>
      <c r="E38" s="45">
        <v>1.56</v>
      </c>
      <c r="F38" s="8">
        <v>0.004</v>
      </c>
      <c r="G38" s="21">
        <v>132.525799642999</v>
      </c>
      <c r="H38" s="22">
        <f t="shared" si="1"/>
        <v>0.3112</v>
      </c>
      <c r="I38" s="22">
        <f t="shared" si="2"/>
        <v>3.213367609</v>
      </c>
      <c r="J38" s="22">
        <f t="shared" si="3"/>
        <v>0.5641025641</v>
      </c>
      <c r="K38" s="22">
        <f t="shared" si="4"/>
        <v>0.004256549031</v>
      </c>
      <c r="L38" s="22">
        <f t="shared" si="5"/>
        <v>1.660054122</v>
      </c>
      <c r="M38" s="22">
        <f t="shared" si="6"/>
        <v>0.25</v>
      </c>
      <c r="N38" s="22">
        <f t="shared" si="7"/>
        <v>0.4369940206</v>
      </c>
      <c r="O38" s="22">
        <f t="shared" si="8"/>
        <v>0.4466804725</v>
      </c>
      <c r="P38" s="22">
        <f t="shared" si="9"/>
        <v>1.149595216</v>
      </c>
      <c r="AE38" s="22">
        <f t="shared" si="38"/>
        <v>312.5</v>
      </c>
      <c r="AF38" s="22">
        <f t="shared" si="39"/>
        <v>470</v>
      </c>
    </row>
    <row r="39">
      <c r="A39" s="18" t="s">
        <v>29</v>
      </c>
      <c r="B39" s="8" t="s">
        <v>80</v>
      </c>
      <c r="C39" s="8">
        <v>5.0</v>
      </c>
      <c r="D39" s="19">
        <v>0.88</v>
      </c>
      <c r="E39" s="45">
        <v>1.77</v>
      </c>
      <c r="F39" s="8">
        <v>0.005</v>
      </c>
      <c r="G39" s="21">
        <v>150.630021095999</v>
      </c>
      <c r="H39" s="22">
        <f t="shared" si="1"/>
        <v>0.389</v>
      </c>
      <c r="I39" s="22">
        <f t="shared" si="2"/>
        <v>2.570694087</v>
      </c>
      <c r="J39" s="22">
        <f t="shared" si="3"/>
        <v>0.4971751412</v>
      </c>
      <c r="K39" s="22">
        <f t="shared" si="4"/>
        <v>0.003300637799</v>
      </c>
      <c r="L39" s="22">
        <f t="shared" si="5"/>
        <v>1.168425781</v>
      </c>
      <c r="M39" s="22">
        <f t="shared" si="6"/>
        <v>0.5</v>
      </c>
      <c r="N39" s="22">
        <f t="shared" si="7"/>
        <v>0.5871785987</v>
      </c>
      <c r="O39" s="22">
        <f t="shared" si="8"/>
        <v>0.3370116258</v>
      </c>
      <c r="P39" s="22">
        <f t="shared" si="9"/>
        <v>1.058119066</v>
      </c>
      <c r="AE39" s="22">
        <f t="shared" si="38"/>
        <v>260</v>
      </c>
      <c r="AF39" s="22">
        <f t="shared" si="39"/>
        <v>503.3333333</v>
      </c>
    </row>
    <row r="40">
      <c r="A40" s="18" t="s">
        <v>29</v>
      </c>
      <c r="B40" s="8" t="s">
        <v>80</v>
      </c>
      <c r="C40" s="8">
        <v>6.0</v>
      </c>
      <c r="D40" s="19">
        <v>0.88</v>
      </c>
      <c r="E40" s="45">
        <v>1.57</v>
      </c>
      <c r="F40" s="8">
        <v>0.004</v>
      </c>
      <c r="G40" s="21">
        <v>133.136949878</v>
      </c>
      <c r="H40" s="22">
        <f t="shared" si="1"/>
        <v>0.3112</v>
      </c>
      <c r="I40" s="22">
        <f t="shared" si="2"/>
        <v>3.213367609</v>
      </c>
      <c r="J40" s="22">
        <f t="shared" si="3"/>
        <v>0.5605095541</v>
      </c>
      <c r="K40" s="22">
        <f t="shared" si="4"/>
        <v>0.004210022497</v>
      </c>
      <c r="L40" s="22">
        <f t="shared" si="5"/>
        <v>1.65243383</v>
      </c>
      <c r="M40" s="22">
        <f t="shared" si="6"/>
        <v>0.25</v>
      </c>
      <c r="N40" s="22">
        <f t="shared" si="7"/>
        <v>0.4420638514</v>
      </c>
      <c r="O40" s="22">
        <f t="shared" si="8"/>
        <v>0.4451100882</v>
      </c>
      <c r="P40" s="22">
        <f t="shared" si="9"/>
        <v>1.153651081</v>
      </c>
      <c r="Q40" s="46" t="s">
        <v>66</v>
      </c>
      <c r="R40" s="47" t="s">
        <v>67</v>
      </c>
      <c r="S40" s="46" t="s">
        <v>81</v>
      </c>
      <c r="T40" s="46" t="s">
        <v>82</v>
      </c>
      <c r="U40" s="46" t="s">
        <v>83</v>
      </c>
      <c r="V40" s="46" t="s">
        <v>84</v>
      </c>
      <c r="W40" s="46" t="s">
        <v>85</v>
      </c>
      <c r="X40" s="46" t="s">
        <v>86</v>
      </c>
      <c r="Y40" s="46" t="s">
        <v>87</v>
      </c>
      <c r="Z40" s="46" t="s">
        <v>88</v>
      </c>
      <c r="AE40" s="22">
        <f t="shared" si="38"/>
        <v>298</v>
      </c>
      <c r="AF40" s="22">
        <f t="shared" si="39"/>
        <v>520</v>
      </c>
    </row>
    <row r="41">
      <c r="A41" s="18" t="s">
        <v>29</v>
      </c>
      <c r="B41" s="8" t="s">
        <v>80</v>
      </c>
      <c r="C41" s="8">
        <v>7.0</v>
      </c>
      <c r="D41" s="19">
        <v>0.88</v>
      </c>
      <c r="E41" s="45">
        <v>1.65</v>
      </c>
      <c r="F41" s="8">
        <v>0.005</v>
      </c>
      <c r="G41" s="21">
        <v>140.590868174999</v>
      </c>
      <c r="H41" s="22">
        <f t="shared" si="1"/>
        <v>0.389</v>
      </c>
      <c r="I41" s="22">
        <f t="shared" si="2"/>
        <v>2.570694087</v>
      </c>
      <c r="J41" s="22">
        <f t="shared" si="3"/>
        <v>0.5333333333</v>
      </c>
      <c r="K41" s="22">
        <f t="shared" si="4"/>
        <v>0.003793513336</v>
      </c>
      <c r="L41" s="22">
        <f t="shared" si="5"/>
        <v>1.251859401</v>
      </c>
      <c r="M41" s="22">
        <f t="shared" si="6"/>
        <v>0.5</v>
      </c>
      <c r="N41" s="22">
        <f t="shared" si="7"/>
        <v>0.5038982461</v>
      </c>
      <c r="O41" s="22">
        <f t="shared" si="8"/>
        <v>0.3556740899</v>
      </c>
      <c r="P41" s="22">
        <f t="shared" si="9"/>
        <v>1.002598831</v>
      </c>
      <c r="Q41" s="18" t="s">
        <v>29</v>
      </c>
      <c r="R41" s="36" t="s">
        <v>56</v>
      </c>
      <c r="S41" s="38">
        <f t="shared" ref="S41:S60" si="40">((1+SQRT(0.3))*Z41*Y41)/(SQRT(0.3)*Z41+Y41)</f>
        <v>0.9385902891</v>
      </c>
      <c r="T41" s="38">
        <f t="shared" ref="T41:T60" si="41">((1+SQRT(0.6))*Z41*Y41)/(SQRT(0.6)*Z41+Y41)</f>
        <v>0.9534067972</v>
      </c>
      <c r="U41" s="38">
        <f t="shared" ref="U41:U60" si="42">((1+SQRT(0.9))*Z41*Y41)/(SQRT(0.9)*Z41+Y41)</f>
        <v>0.9626682427</v>
      </c>
      <c r="V41" s="38">
        <f t="shared" ref="V41:V60" si="43">((1+SQRT(1.2))*Z41*Y41)/(SQRT(1.2)*Z41+Y41)</f>
        <v>0.9693913604</v>
      </c>
      <c r="W41" s="38">
        <f t="shared" ref="W41:W60" si="44">((1+SQRT(1.5))*Z41*Y41)/(SQRT(1.5)*Z41+Y41)</f>
        <v>0.9746440992</v>
      </c>
      <c r="X41" s="38">
        <f t="shared" ref="X41:X60" si="45">((1+SQRT(1.8))*Z41*Y41)/(SQRT(1.8)*Z41+Y41)</f>
        <v>0.9789354931</v>
      </c>
      <c r="Y41" s="38">
        <f>AVERAGE(P2,P34)</f>
        <v>1.068471144</v>
      </c>
      <c r="Z41" s="48">
        <v>0.88</v>
      </c>
      <c r="AE41" s="22">
        <f t="shared" si="38"/>
        <v>282</v>
      </c>
      <c r="AF41" s="22">
        <f t="shared" si="39"/>
        <v>530</v>
      </c>
    </row>
    <row r="42">
      <c r="A42" s="18" t="s">
        <v>29</v>
      </c>
      <c r="B42" s="8" t="s">
        <v>80</v>
      </c>
      <c r="C42" s="8">
        <v>8.0</v>
      </c>
      <c r="D42" s="19">
        <v>0.88</v>
      </c>
      <c r="E42" s="45">
        <v>2.17</v>
      </c>
      <c r="F42" s="8">
        <v>0.006</v>
      </c>
      <c r="G42" s="21">
        <v>184.250331702</v>
      </c>
      <c r="H42" s="22">
        <f t="shared" si="1"/>
        <v>0.4668</v>
      </c>
      <c r="I42" s="22">
        <f t="shared" si="2"/>
        <v>2.142245073</v>
      </c>
      <c r="J42" s="22">
        <f t="shared" si="3"/>
        <v>0.4055299539</v>
      </c>
      <c r="K42" s="22">
        <f t="shared" si="4"/>
        <v>0.002200972721</v>
      </c>
      <c r="L42" s="22">
        <f t="shared" si="5"/>
        <v>0.7960184674</v>
      </c>
      <c r="M42" s="22">
        <f t="shared" si="6"/>
        <v>0.75</v>
      </c>
      <c r="N42" s="22">
        <f t="shared" si="7"/>
        <v>0.8660777593</v>
      </c>
      <c r="O42" s="22">
        <f t="shared" si="8"/>
        <v>0.2456937762</v>
      </c>
      <c r="P42" s="22">
        <f t="shared" si="9"/>
        <v>1.066330148</v>
      </c>
      <c r="Q42" s="18" t="s">
        <v>29</v>
      </c>
      <c r="R42" s="36" t="s">
        <v>57</v>
      </c>
      <c r="S42" s="38">
        <f t="shared" si="40"/>
        <v>0.918882286</v>
      </c>
      <c r="T42" s="38">
        <f t="shared" si="41"/>
        <v>0.9284576629</v>
      </c>
      <c r="U42" s="38">
        <f t="shared" si="42"/>
        <v>0.9343917967</v>
      </c>
      <c r="V42" s="38">
        <f t="shared" si="43"/>
        <v>0.9386751271</v>
      </c>
      <c r="W42" s="38">
        <f t="shared" si="44"/>
        <v>0.9420074923</v>
      </c>
      <c r="X42" s="38">
        <f t="shared" si="45"/>
        <v>0.944720796</v>
      </c>
      <c r="Y42" s="38">
        <f>AVERAGE(P35,P67)</f>
        <v>0.9995122795</v>
      </c>
      <c r="Z42" s="48">
        <v>0.88</v>
      </c>
      <c r="AE42" s="22">
        <f t="shared" si="38"/>
        <v>265</v>
      </c>
      <c r="AF42" s="22">
        <f t="shared" si="39"/>
        <v>540</v>
      </c>
    </row>
    <row r="43">
      <c r="A43" s="18" t="s">
        <v>29</v>
      </c>
      <c r="B43" s="8" t="s">
        <v>80</v>
      </c>
      <c r="C43" s="8">
        <v>9.0</v>
      </c>
      <c r="D43" s="19">
        <v>0.88</v>
      </c>
      <c r="E43" s="45">
        <v>1.66</v>
      </c>
      <c r="F43" s="8">
        <v>0.005</v>
      </c>
      <c r="G43" s="21">
        <v>141.029072720999</v>
      </c>
      <c r="H43" s="22">
        <f t="shared" si="1"/>
        <v>0.389</v>
      </c>
      <c r="I43" s="22">
        <f t="shared" si="2"/>
        <v>2.570694087</v>
      </c>
      <c r="J43" s="22">
        <f t="shared" si="3"/>
        <v>0.5301204819</v>
      </c>
      <c r="K43" s="22">
        <f t="shared" si="4"/>
        <v>0.003758944675</v>
      </c>
      <c r="L43" s="22">
        <f t="shared" si="5"/>
        <v>1.247969632</v>
      </c>
      <c r="M43" s="22">
        <f t="shared" si="6"/>
        <v>0.5</v>
      </c>
      <c r="N43" s="22">
        <f t="shared" si="7"/>
        <v>0.5075333963</v>
      </c>
      <c r="O43" s="22">
        <f t="shared" si="8"/>
        <v>0.3548164447</v>
      </c>
      <c r="P43" s="22">
        <f t="shared" si="9"/>
        <v>1.005022264</v>
      </c>
      <c r="Q43" s="18" t="s">
        <v>29</v>
      </c>
      <c r="R43" s="36" t="s">
        <v>58</v>
      </c>
      <c r="S43" s="38">
        <f t="shared" si="40"/>
        <v>0.9302573913</v>
      </c>
      <c r="T43" s="38">
        <f t="shared" si="41"/>
        <v>0.9428255972</v>
      </c>
      <c r="U43" s="38">
        <f t="shared" si="42"/>
        <v>0.9506531239</v>
      </c>
      <c r="V43" s="38">
        <f t="shared" si="43"/>
        <v>0.9563216247</v>
      </c>
      <c r="W43" s="38">
        <f t="shared" si="44"/>
        <v>0.9607424033</v>
      </c>
      <c r="X43" s="38">
        <f t="shared" si="45"/>
        <v>0.964348909</v>
      </c>
      <c r="Y43" s="38">
        <f>AVERAGE(P68,P100)</f>
        <v>1.03854589</v>
      </c>
      <c r="Z43" s="48">
        <v>0.88</v>
      </c>
      <c r="AE43" s="22">
        <f t="shared" si="38"/>
        <v>275.7142857</v>
      </c>
      <c r="AF43" s="22">
        <f t="shared" si="39"/>
        <v>486.6666667</v>
      </c>
    </row>
    <row r="44">
      <c r="A44" s="18" t="s">
        <v>29</v>
      </c>
      <c r="B44" s="8" t="s">
        <v>80</v>
      </c>
      <c r="C44" s="8">
        <v>10.0</v>
      </c>
      <c r="D44" s="19">
        <v>0.88</v>
      </c>
      <c r="E44" s="45">
        <v>1.68</v>
      </c>
      <c r="F44" s="8">
        <v>0.005</v>
      </c>
      <c r="G44" s="21">
        <v>143.12991206</v>
      </c>
      <c r="H44" s="22">
        <f t="shared" si="1"/>
        <v>0.389</v>
      </c>
      <c r="I44" s="22">
        <f t="shared" si="2"/>
        <v>2.570694087</v>
      </c>
      <c r="J44" s="22">
        <f t="shared" si="3"/>
        <v>0.5238095238</v>
      </c>
      <c r="K44" s="22">
        <f t="shared" si="4"/>
        <v>0.003659678933</v>
      </c>
      <c r="L44" s="22">
        <f t="shared" si="5"/>
        <v>1.229652121</v>
      </c>
      <c r="M44" s="22">
        <f t="shared" si="6"/>
        <v>0.5</v>
      </c>
      <c r="N44" s="22">
        <f t="shared" si="7"/>
        <v>0.5249610262</v>
      </c>
      <c r="O44" s="22">
        <f t="shared" si="8"/>
        <v>0.3507615151</v>
      </c>
      <c r="P44" s="22">
        <f t="shared" si="9"/>
        <v>1.016640684</v>
      </c>
      <c r="Q44" s="18" t="s">
        <v>29</v>
      </c>
      <c r="R44" s="36" t="s">
        <v>65</v>
      </c>
      <c r="S44" s="38">
        <f t="shared" si="40"/>
        <v>0.931645708</v>
      </c>
      <c r="T44" s="38">
        <f t="shared" si="41"/>
        <v>0.9445852038</v>
      </c>
      <c r="U44" s="38">
        <f t="shared" si="42"/>
        <v>0.9526488551</v>
      </c>
      <c r="V44" s="38">
        <f t="shared" si="43"/>
        <v>0.9584906934</v>
      </c>
      <c r="W44" s="38">
        <f t="shared" si="44"/>
        <v>0.9630480217</v>
      </c>
      <c r="X44" s="38">
        <f t="shared" si="45"/>
        <v>0.9667668128</v>
      </c>
      <c r="Y44" s="38">
        <f>AVERAGE(P101,P133)</f>
        <v>1.043451183</v>
      </c>
      <c r="Z44" s="48">
        <v>0.88</v>
      </c>
      <c r="AE44" s="22">
        <f t="shared" si="38"/>
        <v>286</v>
      </c>
      <c r="AF44" s="22">
        <f t="shared" si="39"/>
        <v>415</v>
      </c>
    </row>
    <row r="45">
      <c r="A45" s="18" t="s">
        <v>29</v>
      </c>
      <c r="B45" s="8" t="s">
        <v>80</v>
      </c>
      <c r="C45" s="8">
        <v>11.0</v>
      </c>
      <c r="D45" s="19">
        <v>0.88</v>
      </c>
      <c r="E45" s="45">
        <v>1.5</v>
      </c>
      <c r="F45" s="8">
        <v>0.004</v>
      </c>
      <c r="G45" s="21">
        <v>127.360538463</v>
      </c>
      <c r="H45" s="22">
        <f t="shared" si="1"/>
        <v>0.3112</v>
      </c>
      <c r="I45" s="22">
        <f t="shared" si="2"/>
        <v>3.213367609</v>
      </c>
      <c r="J45" s="22">
        <f t="shared" si="3"/>
        <v>0.5866666667</v>
      </c>
      <c r="K45" s="22">
        <f t="shared" si="4"/>
        <v>0.004606345684</v>
      </c>
      <c r="L45" s="22">
        <f t="shared" si="5"/>
        <v>1.727379632</v>
      </c>
      <c r="M45" s="22">
        <f t="shared" si="6"/>
        <v>0.25</v>
      </c>
      <c r="N45" s="22">
        <f t="shared" si="7"/>
        <v>0.3941453085</v>
      </c>
      <c r="O45" s="22">
        <f t="shared" si="8"/>
        <v>0.4604090866</v>
      </c>
      <c r="P45" s="22">
        <f t="shared" si="9"/>
        <v>1.115316247</v>
      </c>
      <c r="Q45" s="18" t="s">
        <v>31</v>
      </c>
      <c r="R45" s="36" t="s">
        <v>56</v>
      </c>
      <c r="S45" s="38">
        <f t="shared" si="40"/>
        <v>0.911853077</v>
      </c>
      <c r="T45" s="38">
        <f t="shared" si="41"/>
        <v>0.919622756</v>
      </c>
      <c r="U45" s="38">
        <f t="shared" si="42"/>
        <v>0.9244231996</v>
      </c>
      <c r="V45" s="38">
        <f t="shared" si="43"/>
        <v>0.9278812802</v>
      </c>
      <c r="W45" s="38">
        <f t="shared" si="44"/>
        <v>0.9305676011</v>
      </c>
      <c r="X45" s="38">
        <f t="shared" si="45"/>
        <v>0.9327522891</v>
      </c>
      <c r="Y45" s="38">
        <f>AVERAGE(P134,P166)</f>
        <v>0.9763777743</v>
      </c>
      <c r="Z45" s="48">
        <v>0.88</v>
      </c>
      <c r="AE45" s="22">
        <f t="shared" si="38"/>
        <v>283.3333333</v>
      </c>
      <c r="AF45" s="22">
        <f t="shared" si="39"/>
        <v>490</v>
      </c>
    </row>
    <row r="46">
      <c r="A46" s="18" t="s">
        <v>29</v>
      </c>
      <c r="B46" s="8" t="s">
        <v>80</v>
      </c>
      <c r="C46" s="8">
        <v>12.0</v>
      </c>
      <c r="D46" s="19">
        <v>0.88</v>
      </c>
      <c r="E46" s="45">
        <v>1.59</v>
      </c>
      <c r="F46" s="8">
        <v>0.005</v>
      </c>
      <c r="G46" s="21">
        <v>135.361837849</v>
      </c>
      <c r="H46" s="22">
        <f t="shared" si="1"/>
        <v>0.389</v>
      </c>
      <c r="I46" s="22">
        <f t="shared" si="2"/>
        <v>2.570694087</v>
      </c>
      <c r="J46" s="22">
        <f t="shared" si="3"/>
        <v>0.5534591195</v>
      </c>
      <c r="K46" s="22">
        <f t="shared" si="4"/>
        <v>0.004088738217</v>
      </c>
      <c r="L46" s="22">
        <f t="shared" si="5"/>
        <v>1.300218753</v>
      </c>
      <c r="M46" s="22">
        <f t="shared" si="6"/>
        <v>0.5</v>
      </c>
      <c r="N46" s="22">
        <f t="shared" si="7"/>
        <v>0.4605205336</v>
      </c>
      <c r="O46" s="22">
        <f t="shared" si="8"/>
        <v>0.3662376719</v>
      </c>
      <c r="P46" s="22">
        <f t="shared" si="9"/>
        <v>0.9736803557</v>
      </c>
      <c r="Q46" s="18" t="s">
        <v>31</v>
      </c>
      <c r="R46" s="36" t="s">
        <v>57</v>
      </c>
      <c r="S46" s="38">
        <f t="shared" si="40"/>
        <v>0.9167315235</v>
      </c>
      <c r="T46" s="38">
        <f t="shared" si="41"/>
        <v>0.9257508695</v>
      </c>
      <c r="U46" s="38">
        <f t="shared" si="42"/>
        <v>0.9313352015</v>
      </c>
      <c r="V46" s="38">
        <f t="shared" si="43"/>
        <v>0.9353635643</v>
      </c>
      <c r="W46" s="38">
        <f t="shared" si="44"/>
        <v>0.9384961339</v>
      </c>
      <c r="X46" s="38">
        <f t="shared" si="45"/>
        <v>0.9410458317</v>
      </c>
      <c r="Y46" s="38">
        <f>AVERAGE(P167,P199)</f>
        <v>0.9923561433</v>
      </c>
      <c r="Z46" s="48">
        <v>0.88</v>
      </c>
      <c r="AE46" s="22">
        <f t="shared" si="38"/>
        <v>278</v>
      </c>
      <c r="AF46" s="22">
        <f t="shared" si="39"/>
        <v>520</v>
      </c>
    </row>
    <row r="47">
      <c r="A47" s="18" t="s">
        <v>29</v>
      </c>
      <c r="B47" s="8" t="s">
        <v>80</v>
      </c>
      <c r="C47" s="8">
        <v>13.0</v>
      </c>
      <c r="D47" s="19">
        <v>0.88</v>
      </c>
      <c r="E47" s="45">
        <v>1.52</v>
      </c>
      <c r="F47" s="8">
        <v>0.004</v>
      </c>
      <c r="G47" s="21">
        <v>129.263317770999</v>
      </c>
      <c r="H47" s="22">
        <f t="shared" si="1"/>
        <v>0.3112</v>
      </c>
      <c r="I47" s="22">
        <f t="shared" si="2"/>
        <v>3.213367609</v>
      </c>
      <c r="J47" s="22">
        <f t="shared" si="3"/>
        <v>0.5789473684</v>
      </c>
      <c r="K47" s="22">
        <f t="shared" si="4"/>
        <v>0.004478821822</v>
      </c>
      <c r="L47" s="22">
        <f t="shared" si="5"/>
        <v>1.701952292</v>
      </c>
      <c r="M47" s="22">
        <f t="shared" si="6"/>
        <v>0.25</v>
      </c>
      <c r="N47" s="22">
        <f t="shared" si="7"/>
        <v>0.4099299203</v>
      </c>
      <c r="O47" s="22">
        <f t="shared" si="8"/>
        <v>0.4552546611</v>
      </c>
      <c r="P47" s="22">
        <f t="shared" si="9"/>
        <v>1.127943936</v>
      </c>
      <c r="Q47" s="18" t="s">
        <v>31</v>
      </c>
      <c r="R47" s="36" t="s">
        <v>58</v>
      </c>
      <c r="S47" s="38">
        <f t="shared" si="40"/>
        <v>0.912407949</v>
      </c>
      <c r="T47" s="38">
        <f t="shared" si="41"/>
        <v>0.9203189583</v>
      </c>
      <c r="U47" s="38">
        <f t="shared" si="42"/>
        <v>0.9252078958</v>
      </c>
      <c r="V47" s="38">
        <f t="shared" si="43"/>
        <v>0.9287302804</v>
      </c>
      <c r="W47" s="38">
        <f t="shared" si="44"/>
        <v>0.9314668753</v>
      </c>
      <c r="X47" s="38">
        <f t="shared" si="45"/>
        <v>0.9336926567</v>
      </c>
      <c r="Y47" s="38">
        <f>AVERAGE(P200,P232)</f>
        <v>0.9781776687</v>
      </c>
      <c r="Z47" s="48">
        <v>0.88</v>
      </c>
      <c r="AE47" s="22">
        <f t="shared" si="38"/>
        <v>292</v>
      </c>
      <c r="AF47" s="22">
        <f t="shared" si="39"/>
        <v>510</v>
      </c>
    </row>
    <row r="48">
      <c r="A48" s="18" t="s">
        <v>29</v>
      </c>
      <c r="B48" s="8" t="s">
        <v>80</v>
      </c>
      <c r="C48" s="8">
        <v>14.0</v>
      </c>
      <c r="D48" s="19">
        <v>0.88</v>
      </c>
      <c r="E48" s="45">
        <v>1.53</v>
      </c>
      <c r="F48" s="8">
        <v>0.004</v>
      </c>
      <c r="G48" s="21">
        <v>129.511403366</v>
      </c>
      <c r="H48" s="22">
        <f t="shared" si="1"/>
        <v>0.3112</v>
      </c>
      <c r="I48" s="22">
        <f t="shared" si="2"/>
        <v>3.213367609</v>
      </c>
      <c r="J48" s="22">
        <f t="shared" si="3"/>
        <v>0.5751633987</v>
      </c>
      <c r="K48" s="22">
        <f t="shared" si="4"/>
        <v>0.004441025143</v>
      </c>
      <c r="L48" s="22">
        <f t="shared" si="5"/>
        <v>1.698692117</v>
      </c>
      <c r="M48" s="22">
        <f t="shared" si="6"/>
        <v>0.25</v>
      </c>
      <c r="N48" s="22">
        <f t="shared" si="7"/>
        <v>0.4119879282</v>
      </c>
      <c r="O48" s="22">
        <f t="shared" si="8"/>
        <v>0.454591116</v>
      </c>
      <c r="P48" s="22">
        <f t="shared" si="9"/>
        <v>1.129590343</v>
      </c>
      <c r="Q48" s="18" t="s">
        <v>31</v>
      </c>
      <c r="R48" s="36" t="s">
        <v>65</v>
      </c>
      <c r="S48" s="38">
        <f t="shared" si="40"/>
        <v>0.9140691939</v>
      </c>
      <c r="T48" s="38">
        <f t="shared" si="41"/>
        <v>0.9224045716</v>
      </c>
      <c r="U48" s="38">
        <f t="shared" si="42"/>
        <v>0.9275594722</v>
      </c>
      <c r="V48" s="38">
        <f t="shared" si="43"/>
        <v>0.9312752347</v>
      </c>
      <c r="W48" s="38">
        <f t="shared" si="44"/>
        <v>0.9341630842</v>
      </c>
      <c r="X48" s="38">
        <f t="shared" si="45"/>
        <v>0.9365125425</v>
      </c>
      <c r="Y48" s="38">
        <f>AVERAGE(P233,P265)</f>
        <v>0.9835930771</v>
      </c>
      <c r="Z48" s="48">
        <v>0.88</v>
      </c>
      <c r="AE48" s="22">
        <f t="shared" si="38"/>
        <v>268.5714286</v>
      </c>
      <c r="AF48" s="22">
        <f t="shared" si="39"/>
        <v>432.5</v>
      </c>
    </row>
    <row r="49">
      <c r="A49" s="18" t="s">
        <v>29</v>
      </c>
      <c r="B49" s="8" t="s">
        <v>80</v>
      </c>
      <c r="C49" s="8">
        <v>15.0</v>
      </c>
      <c r="D49" s="19">
        <v>0.88</v>
      </c>
      <c r="E49" s="45">
        <v>1.72</v>
      </c>
      <c r="F49" s="8">
        <v>0.005</v>
      </c>
      <c r="G49" s="21">
        <v>146.026159517</v>
      </c>
      <c r="H49" s="22">
        <f t="shared" si="1"/>
        <v>0.389</v>
      </c>
      <c r="I49" s="22">
        <f t="shared" si="2"/>
        <v>2.570694087</v>
      </c>
      <c r="J49" s="22">
        <f t="shared" si="3"/>
        <v>0.511627907</v>
      </c>
      <c r="K49" s="22">
        <f t="shared" si="4"/>
        <v>0.003503672963</v>
      </c>
      <c r="L49" s="22">
        <f t="shared" si="5"/>
        <v>1.205263499</v>
      </c>
      <c r="M49" s="22">
        <f t="shared" si="6"/>
        <v>0.5</v>
      </c>
      <c r="N49" s="22">
        <f t="shared" si="7"/>
        <v>0.5489870084</v>
      </c>
      <c r="O49" s="22">
        <f t="shared" si="8"/>
        <v>0.3453209337</v>
      </c>
      <c r="P49" s="22">
        <f t="shared" si="9"/>
        <v>1.032658006</v>
      </c>
      <c r="Q49" s="8" t="s">
        <v>38</v>
      </c>
      <c r="R49" s="36" t="s">
        <v>56</v>
      </c>
      <c r="S49" s="38">
        <f t="shared" si="40"/>
        <v>0.9252500935</v>
      </c>
      <c r="T49" s="38">
        <f t="shared" si="41"/>
        <v>0.933883609</v>
      </c>
      <c r="U49" s="38">
        <f t="shared" si="42"/>
        <v>0.9392247047</v>
      </c>
      <c r="V49" s="38">
        <f t="shared" si="43"/>
        <v>0.9430755417</v>
      </c>
      <c r="W49" s="38">
        <f t="shared" si="44"/>
        <v>0.9460688679</v>
      </c>
      <c r="X49" s="38">
        <f t="shared" si="45"/>
        <v>0.9485044602</v>
      </c>
      <c r="Y49" s="38">
        <f>AVERAGE(P266,P298)</f>
        <v>0.9973719306</v>
      </c>
      <c r="Z49" s="48">
        <v>0.89</v>
      </c>
      <c r="AE49" s="22">
        <f t="shared" si="38"/>
        <v>284</v>
      </c>
      <c r="AF49" s="22">
        <f t="shared" si="39"/>
        <v>437.5</v>
      </c>
    </row>
    <row r="50">
      <c r="A50" s="18" t="s">
        <v>29</v>
      </c>
      <c r="B50" s="8" t="s">
        <v>80</v>
      </c>
      <c r="C50" s="8">
        <v>16.0</v>
      </c>
      <c r="D50" s="19">
        <v>0.88</v>
      </c>
      <c r="E50" s="45">
        <v>1.44</v>
      </c>
      <c r="F50" s="8">
        <v>0.004</v>
      </c>
      <c r="G50" s="21">
        <v>122.357066326</v>
      </c>
      <c r="H50" s="22">
        <f t="shared" si="1"/>
        <v>0.3112</v>
      </c>
      <c r="I50" s="22">
        <f t="shared" si="2"/>
        <v>3.213367609</v>
      </c>
      <c r="J50" s="22">
        <f t="shared" si="3"/>
        <v>0.6111111111</v>
      </c>
      <c r="K50" s="22">
        <f t="shared" si="4"/>
        <v>0.00499448973</v>
      </c>
      <c r="L50" s="22">
        <f t="shared" si="5"/>
        <v>1.798016303</v>
      </c>
      <c r="M50" s="22">
        <f t="shared" si="6"/>
        <v>0.25</v>
      </c>
      <c r="N50" s="22">
        <f t="shared" si="7"/>
        <v>0.3526387265</v>
      </c>
      <c r="O50" s="22">
        <f t="shared" si="8"/>
        <v>0.474537033</v>
      </c>
      <c r="P50" s="22">
        <f t="shared" si="9"/>
        <v>1.082110981</v>
      </c>
      <c r="Q50" s="8" t="s">
        <v>38</v>
      </c>
      <c r="R50" s="36" t="s">
        <v>57</v>
      </c>
      <c r="S50" s="38">
        <f t="shared" si="40"/>
        <v>0.9298624309</v>
      </c>
      <c r="T50" s="38">
        <f t="shared" si="41"/>
        <v>0.9396862715</v>
      </c>
      <c r="U50" s="38">
        <f t="shared" si="42"/>
        <v>0.9457757924</v>
      </c>
      <c r="V50" s="38">
        <f t="shared" si="43"/>
        <v>0.9501719523</v>
      </c>
      <c r="W50" s="38">
        <f t="shared" si="44"/>
        <v>0.9535924853</v>
      </c>
      <c r="X50" s="38">
        <f t="shared" si="45"/>
        <v>0.9563778286</v>
      </c>
      <c r="Y50" s="38">
        <f>AVERAGE(P299,P331)</f>
        <v>1.012672296</v>
      </c>
      <c r="Z50" s="48">
        <v>0.89</v>
      </c>
      <c r="AE50" s="22">
        <f t="shared" si="38"/>
        <v>260</v>
      </c>
      <c r="AF50" s="22">
        <f t="shared" si="39"/>
        <v>432.5</v>
      </c>
    </row>
    <row r="51">
      <c r="A51" s="18" t="s">
        <v>29</v>
      </c>
      <c r="B51" s="8" t="s">
        <v>80</v>
      </c>
      <c r="C51" s="8">
        <v>17.0</v>
      </c>
      <c r="D51" s="19">
        <v>0.88</v>
      </c>
      <c r="E51" s="45">
        <v>1.7</v>
      </c>
      <c r="F51" s="8">
        <v>0.005</v>
      </c>
      <c r="G51" s="21">
        <v>144.620675467</v>
      </c>
      <c r="H51" s="22">
        <f t="shared" si="1"/>
        <v>0.389</v>
      </c>
      <c r="I51" s="22">
        <f t="shared" si="2"/>
        <v>2.570694087</v>
      </c>
      <c r="J51" s="22">
        <f t="shared" si="3"/>
        <v>0.5176470588</v>
      </c>
      <c r="K51" s="22">
        <f t="shared" si="4"/>
        <v>0.00357934339</v>
      </c>
      <c r="L51" s="22">
        <f t="shared" si="5"/>
        <v>1.216976753</v>
      </c>
      <c r="M51" s="22">
        <f t="shared" si="6"/>
        <v>0.5</v>
      </c>
      <c r="N51" s="22">
        <f t="shared" si="7"/>
        <v>0.5373277371</v>
      </c>
      <c r="O51" s="22">
        <f t="shared" si="8"/>
        <v>0.3479398876</v>
      </c>
      <c r="P51" s="22">
        <f t="shared" si="9"/>
        <v>1.024885158</v>
      </c>
      <c r="Q51" s="8" t="s">
        <v>38</v>
      </c>
      <c r="R51" s="36" t="s">
        <v>58</v>
      </c>
      <c r="S51" s="38">
        <f t="shared" si="40"/>
        <v>0.934486841</v>
      </c>
      <c r="T51" s="38">
        <f t="shared" si="41"/>
        <v>0.9455183821</v>
      </c>
      <c r="U51" s="38">
        <f t="shared" si="42"/>
        <v>0.9523701255</v>
      </c>
      <c r="V51" s="38">
        <f t="shared" si="43"/>
        <v>0.957323038</v>
      </c>
      <c r="W51" s="38">
        <f t="shared" si="44"/>
        <v>0.9611805344</v>
      </c>
      <c r="X51" s="38">
        <f t="shared" si="45"/>
        <v>0.9643241375</v>
      </c>
      <c r="Y51" s="38">
        <f>AVERAGE(P332,P364)</f>
        <v>1.028332573</v>
      </c>
      <c r="Z51" s="48">
        <v>0.89</v>
      </c>
      <c r="AE51" s="22">
        <f t="shared" si="38"/>
        <v>312.5</v>
      </c>
      <c r="AF51" s="22">
        <f t="shared" si="39"/>
        <v>453.3333333</v>
      </c>
    </row>
    <row r="52">
      <c r="A52" s="18" t="s">
        <v>29</v>
      </c>
      <c r="B52" s="8" t="s">
        <v>80</v>
      </c>
      <c r="C52" s="8">
        <v>18.0</v>
      </c>
      <c r="D52" s="19">
        <v>0.88</v>
      </c>
      <c r="E52" s="45">
        <v>1.75</v>
      </c>
      <c r="F52" s="8">
        <v>0.005</v>
      </c>
      <c r="G52" s="21">
        <v>149.059872074999</v>
      </c>
      <c r="H52" s="22">
        <f t="shared" si="1"/>
        <v>0.389</v>
      </c>
      <c r="I52" s="22">
        <f t="shared" si="2"/>
        <v>2.570694087</v>
      </c>
      <c r="J52" s="22">
        <f t="shared" si="3"/>
        <v>0.5028571429</v>
      </c>
      <c r="K52" s="22">
        <f t="shared" si="4"/>
        <v>0.003373524583</v>
      </c>
      <c r="L52" s="22">
        <f t="shared" si="5"/>
        <v>1.180733604</v>
      </c>
      <c r="M52" s="22">
        <f t="shared" si="6"/>
        <v>0.5</v>
      </c>
      <c r="N52" s="22">
        <f t="shared" si="7"/>
        <v>0.57415334</v>
      </c>
      <c r="O52" s="22">
        <f t="shared" si="8"/>
        <v>0.3398002129</v>
      </c>
      <c r="P52" s="22">
        <f t="shared" si="9"/>
        <v>1.04943556</v>
      </c>
      <c r="Q52" s="8" t="s">
        <v>38</v>
      </c>
      <c r="R52" s="36" t="s">
        <v>65</v>
      </c>
      <c r="S52" s="38">
        <f t="shared" si="40"/>
        <v>0.912603391</v>
      </c>
      <c r="T52" s="38">
        <f t="shared" si="41"/>
        <v>0.9180455657</v>
      </c>
      <c r="U52" s="38">
        <f t="shared" si="42"/>
        <v>0.9213942037</v>
      </c>
      <c r="V52" s="38">
        <f t="shared" si="43"/>
        <v>0.9237999673</v>
      </c>
      <c r="W52" s="38">
        <f t="shared" si="44"/>
        <v>0.9256650884</v>
      </c>
      <c r="X52" s="38">
        <f t="shared" si="45"/>
        <v>0.9271795231</v>
      </c>
      <c r="Y52" s="38">
        <f>AVERAGE(P365,P397)</f>
        <v>0.9569769691</v>
      </c>
      <c r="Z52" s="48">
        <v>0.89</v>
      </c>
    </row>
    <row r="53">
      <c r="A53" s="18" t="s">
        <v>29</v>
      </c>
      <c r="B53" s="8" t="s">
        <v>80</v>
      </c>
      <c r="C53" s="8">
        <v>19.0</v>
      </c>
      <c r="D53" s="19">
        <v>0.88</v>
      </c>
      <c r="E53" s="45">
        <v>1.92</v>
      </c>
      <c r="F53" s="8">
        <v>0.005</v>
      </c>
      <c r="G53" s="21">
        <v>163.276895698999</v>
      </c>
      <c r="H53" s="22">
        <f t="shared" si="1"/>
        <v>0.389</v>
      </c>
      <c r="I53" s="22">
        <f t="shared" si="2"/>
        <v>2.570694087</v>
      </c>
      <c r="J53" s="22">
        <f t="shared" si="3"/>
        <v>0.4583333333</v>
      </c>
      <c r="K53" s="22">
        <f t="shared" si="4"/>
        <v>0.002807092402</v>
      </c>
      <c r="L53" s="22">
        <f t="shared" si="5"/>
        <v>1.077923482</v>
      </c>
      <c r="M53" s="22">
        <f t="shared" si="6"/>
        <v>0.5</v>
      </c>
      <c r="N53" s="22">
        <f t="shared" si="7"/>
        <v>0.6920914519</v>
      </c>
      <c r="O53" s="22">
        <f t="shared" si="8"/>
        <v>0.316116271</v>
      </c>
      <c r="P53" s="22">
        <f t="shared" si="9"/>
        <v>1.128060968</v>
      </c>
      <c r="Q53" s="18" t="s">
        <v>39</v>
      </c>
      <c r="R53" s="36" t="s">
        <v>56</v>
      </c>
      <c r="S53" s="38">
        <f t="shared" si="40"/>
        <v>0.9374585911</v>
      </c>
      <c r="T53" s="38">
        <f t="shared" si="41"/>
        <v>0.9392167752</v>
      </c>
      <c r="U53" s="38">
        <f t="shared" si="42"/>
        <v>0.9402915243</v>
      </c>
      <c r="V53" s="38">
        <f t="shared" si="43"/>
        <v>0.9410603533</v>
      </c>
      <c r="W53" s="38">
        <f t="shared" si="44"/>
        <v>0.9416545148</v>
      </c>
      <c r="X53" s="38">
        <f t="shared" si="45"/>
        <v>0.9421357508</v>
      </c>
      <c r="Y53" s="38">
        <f>AVERAGE(P398,P430)</f>
        <v>0.9513892436</v>
      </c>
      <c r="Z53" s="48">
        <v>0.93</v>
      </c>
      <c r="AE53" s="49" t="s">
        <v>89</v>
      </c>
    </row>
    <row r="54">
      <c r="A54" s="18" t="s">
        <v>29</v>
      </c>
      <c r="B54" s="8" t="s">
        <v>80</v>
      </c>
      <c r="C54" s="8">
        <v>20.0</v>
      </c>
      <c r="D54" s="19">
        <v>0.88</v>
      </c>
      <c r="E54" s="45">
        <v>1.57</v>
      </c>
      <c r="F54" s="8">
        <v>0.004</v>
      </c>
      <c r="G54" s="21">
        <v>133.231331269999</v>
      </c>
      <c r="H54" s="22">
        <f t="shared" si="1"/>
        <v>0.3112</v>
      </c>
      <c r="I54" s="22">
        <f t="shared" si="2"/>
        <v>3.213367609</v>
      </c>
      <c r="J54" s="22">
        <f t="shared" si="3"/>
        <v>0.5605095541</v>
      </c>
      <c r="K54" s="22">
        <f t="shared" si="4"/>
        <v>0.004207040107</v>
      </c>
      <c r="L54" s="22">
        <f t="shared" si="5"/>
        <v>1.651263242</v>
      </c>
      <c r="M54" s="22">
        <f t="shared" si="6"/>
        <v>0.25</v>
      </c>
      <c r="N54" s="22">
        <f t="shared" si="7"/>
        <v>0.4428467975</v>
      </c>
      <c r="O54" s="22">
        <f t="shared" si="8"/>
        <v>0.4448685537</v>
      </c>
      <c r="P54" s="22">
        <f t="shared" si="9"/>
        <v>1.154277438</v>
      </c>
      <c r="Q54" s="18" t="s">
        <v>39</v>
      </c>
      <c r="R54" s="36" t="s">
        <v>57</v>
      </c>
      <c r="S54" s="38">
        <f t="shared" si="40"/>
        <v>0.946218442</v>
      </c>
      <c r="T54" s="38">
        <f t="shared" si="41"/>
        <v>0.9500857936</v>
      </c>
      <c r="U54" s="38">
        <f t="shared" si="42"/>
        <v>0.9524582625</v>
      </c>
      <c r="V54" s="38">
        <f t="shared" si="43"/>
        <v>0.9541593617</v>
      </c>
      <c r="W54" s="38">
        <f t="shared" si="44"/>
        <v>0.9554762511</v>
      </c>
      <c r="X54" s="38">
        <f t="shared" si="45"/>
        <v>0.9565442998</v>
      </c>
      <c r="Y54" s="38">
        <f>AVERAGE(P431,P463)</f>
        <v>0.9773362918</v>
      </c>
      <c r="Z54" s="48">
        <v>0.93</v>
      </c>
      <c r="AE54" s="8" t="s">
        <v>73</v>
      </c>
      <c r="AF54" s="8" t="s">
        <v>74</v>
      </c>
      <c r="AG54" s="17" t="s">
        <v>75</v>
      </c>
      <c r="AH54" s="17" t="s">
        <v>76</v>
      </c>
      <c r="AI54" s="17" t="s">
        <v>77</v>
      </c>
      <c r="AJ54" s="17" t="s">
        <v>78</v>
      </c>
      <c r="AK54" s="17" t="s">
        <v>79</v>
      </c>
    </row>
    <row r="55">
      <c r="A55" s="18" t="s">
        <v>29</v>
      </c>
      <c r="B55" s="8" t="s">
        <v>80</v>
      </c>
      <c r="C55" s="8">
        <v>21.0</v>
      </c>
      <c r="D55" s="19">
        <v>0.88</v>
      </c>
      <c r="E55" s="45">
        <v>2.26</v>
      </c>
      <c r="F55" s="8">
        <v>0.006</v>
      </c>
      <c r="G55" s="21">
        <v>192.017945031999</v>
      </c>
      <c r="H55" s="22">
        <f t="shared" si="1"/>
        <v>0.4668</v>
      </c>
      <c r="I55" s="22">
        <f t="shared" si="2"/>
        <v>2.142245073</v>
      </c>
      <c r="J55" s="22">
        <f t="shared" si="3"/>
        <v>0.389380531</v>
      </c>
      <c r="K55" s="22">
        <f t="shared" si="4"/>
        <v>0.00202783407</v>
      </c>
      <c r="L55" s="22">
        <f t="shared" si="5"/>
        <v>0.7638174997</v>
      </c>
      <c r="M55" s="22">
        <f t="shared" si="6"/>
        <v>0.75</v>
      </c>
      <c r="N55" s="22">
        <f t="shared" si="7"/>
        <v>0.9305144287</v>
      </c>
      <c r="O55" s="22">
        <f t="shared" si="8"/>
        <v>0.2374930146</v>
      </c>
      <c r="P55" s="22">
        <f t="shared" si="9"/>
        <v>1.103151102</v>
      </c>
      <c r="Q55" s="18" t="s">
        <v>39</v>
      </c>
      <c r="R55" s="36" t="s">
        <v>58</v>
      </c>
      <c r="S55" s="38">
        <f t="shared" si="40"/>
        <v>0.9516813875</v>
      </c>
      <c r="T55" s="38">
        <f t="shared" si="41"/>
        <v>0.9568884174</v>
      </c>
      <c r="U55" s="38">
        <f t="shared" si="42"/>
        <v>0.9600898377</v>
      </c>
      <c r="V55" s="38">
        <f t="shared" si="43"/>
        <v>0.9623886469</v>
      </c>
      <c r="W55" s="38">
        <f t="shared" si="44"/>
        <v>0.9641701657</v>
      </c>
      <c r="X55" s="38">
        <f t="shared" si="45"/>
        <v>0.9656162785</v>
      </c>
      <c r="Y55" s="38">
        <f>AVERAGE(P464,P496)</f>
        <v>0.9939896671</v>
      </c>
      <c r="Z55" s="48">
        <v>0.93</v>
      </c>
      <c r="AE55" s="22">
        <f t="shared" ref="AE55:AE87" si="48">E134/F134</f>
        <v>141.6666667</v>
      </c>
      <c r="AF55" s="22">
        <f t="shared" ref="AF55:AF87" si="49">E233/F233</f>
        <v>150</v>
      </c>
      <c r="AG55" s="22">
        <f t="shared" ref="AG55:AH55" si="46">100*(AH13-AH10)/AH10</f>
        <v>-27.27272727</v>
      </c>
      <c r="AH55" s="22">
        <f t="shared" si="46"/>
        <v>45.45454545</v>
      </c>
      <c r="AI55" s="22">
        <f>100*(R5-Q5)/Q5</f>
        <v>-22.81879195</v>
      </c>
      <c r="AJ55" s="22">
        <f t="shared" ref="AJ55:AK55" si="47">(2*(S5*U5))/(S5+U5)</f>
        <v>0.01084188912</v>
      </c>
      <c r="AK55" s="22">
        <f t="shared" si="47"/>
        <v>0.007468175389</v>
      </c>
    </row>
    <row r="56">
      <c r="A56" s="18" t="s">
        <v>29</v>
      </c>
      <c r="B56" s="8" t="s">
        <v>80</v>
      </c>
      <c r="C56" s="8">
        <v>22.0</v>
      </c>
      <c r="D56" s="19">
        <v>0.88</v>
      </c>
      <c r="E56" s="45">
        <v>1.78</v>
      </c>
      <c r="F56" s="8">
        <v>0.005</v>
      </c>
      <c r="G56" s="21">
        <v>151.356324667</v>
      </c>
      <c r="H56" s="22">
        <f t="shared" si="1"/>
        <v>0.389</v>
      </c>
      <c r="I56" s="22">
        <f t="shared" si="2"/>
        <v>2.570694087</v>
      </c>
      <c r="J56" s="22">
        <f t="shared" si="3"/>
        <v>0.4943820225</v>
      </c>
      <c r="K56" s="22">
        <f t="shared" si="4"/>
        <v>0.003266345318</v>
      </c>
      <c r="L56" s="22">
        <f t="shared" si="5"/>
        <v>1.162818933</v>
      </c>
      <c r="M56" s="22">
        <f t="shared" si="6"/>
        <v>0.5</v>
      </c>
      <c r="N56" s="22">
        <f t="shared" si="7"/>
        <v>0.5932036905</v>
      </c>
      <c r="O56" s="22">
        <f t="shared" si="8"/>
        <v>0.3357371334</v>
      </c>
      <c r="P56" s="22">
        <f t="shared" si="9"/>
        <v>1.062135794</v>
      </c>
      <c r="Q56" s="18" t="s">
        <v>39</v>
      </c>
      <c r="R56" s="36" t="s">
        <v>65</v>
      </c>
      <c r="S56" s="38">
        <f t="shared" si="40"/>
        <v>0.9555735202</v>
      </c>
      <c r="T56" s="38">
        <f t="shared" si="41"/>
        <v>0.9617464711</v>
      </c>
      <c r="U56" s="38">
        <f t="shared" si="42"/>
        <v>0.9655477944</v>
      </c>
      <c r="V56" s="38">
        <f t="shared" si="43"/>
        <v>0.9682802071</v>
      </c>
      <c r="W56" s="38">
        <f t="shared" si="44"/>
        <v>0.9703993914</v>
      </c>
      <c r="X56" s="38">
        <f t="shared" si="45"/>
        <v>0.9721206474</v>
      </c>
      <c r="Y56" s="38">
        <f>AVERAGE(P497,P529)</f>
        <v>1.006083962</v>
      </c>
      <c r="Z56" s="48">
        <v>0.93</v>
      </c>
      <c r="AE56" s="22">
        <f t="shared" si="48"/>
        <v>133.3333333</v>
      </c>
      <c r="AF56" s="22">
        <f t="shared" si="49"/>
        <v>125</v>
      </c>
    </row>
    <row r="57">
      <c r="A57" s="18" t="s">
        <v>29</v>
      </c>
      <c r="B57" s="8" t="s">
        <v>80</v>
      </c>
      <c r="C57" s="8">
        <v>23.0</v>
      </c>
      <c r="D57" s="19">
        <v>0.88</v>
      </c>
      <c r="E57" s="45">
        <v>1.57</v>
      </c>
      <c r="F57" s="8">
        <v>0.004</v>
      </c>
      <c r="G57" s="21">
        <v>133.33732752</v>
      </c>
      <c r="H57" s="22">
        <f t="shared" si="1"/>
        <v>0.3112</v>
      </c>
      <c r="I57" s="22">
        <f t="shared" si="2"/>
        <v>3.213367609</v>
      </c>
      <c r="J57" s="22">
        <f t="shared" si="3"/>
        <v>0.5605095541</v>
      </c>
      <c r="K57" s="22">
        <f t="shared" si="4"/>
        <v>0.004203695728</v>
      </c>
      <c r="L57" s="22">
        <f t="shared" si="5"/>
        <v>1.649950573</v>
      </c>
      <c r="M57" s="22">
        <f t="shared" si="6"/>
        <v>0.25</v>
      </c>
      <c r="N57" s="22">
        <f t="shared" si="7"/>
        <v>0.4437260953</v>
      </c>
      <c r="O57" s="22">
        <f t="shared" si="8"/>
        <v>0.4445976076</v>
      </c>
      <c r="P57" s="22">
        <f t="shared" si="9"/>
        <v>1.154980876</v>
      </c>
      <c r="Q57" s="18" t="s">
        <v>40</v>
      </c>
      <c r="R57" s="36" t="s">
        <v>56</v>
      </c>
      <c r="S57" s="38">
        <f t="shared" si="40"/>
        <v>1.006305822</v>
      </c>
      <c r="T57" s="38">
        <f t="shared" si="41"/>
        <v>1.017764549</v>
      </c>
      <c r="U57" s="38">
        <f t="shared" si="42"/>
        <v>1.024876853</v>
      </c>
      <c r="V57" s="38">
        <f t="shared" si="43"/>
        <v>1.030015846</v>
      </c>
      <c r="W57" s="38">
        <f t="shared" si="44"/>
        <v>1.034016948</v>
      </c>
      <c r="X57" s="38">
        <f t="shared" si="45"/>
        <v>1.037276726</v>
      </c>
      <c r="Y57" s="38">
        <f>AVERAGE(P530,P562)</f>
        <v>1.103484253</v>
      </c>
      <c r="Z57" s="48">
        <v>0.96</v>
      </c>
      <c r="AE57" s="22">
        <f t="shared" si="48"/>
        <v>140</v>
      </c>
      <c r="AF57" s="22">
        <f t="shared" si="49"/>
        <v>133.3333333</v>
      </c>
    </row>
    <row r="58">
      <c r="A58" s="18" t="s">
        <v>29</v>
      </c>
      <c r="B58" s="8" t="s">
        <v>80</v>
      </c>
      <c r="C58" s="8">
        <v>24.0</v>
      </c>
      <c r="D58" s="19">
        <v>0.88</v>
      </c>
      <c r="E58" s="45">
        <v>2.23</v>
      </c>
      <c r="F58" s="8">
        <v>0.006</v>
      </c>
      <c r="G58" s="21">
        <v>189.381174274</v>
      </c>
      <c r="H58" s="22">
        <f t="shared" si="1"/>
        <v>0.4668</v>
      </c>
      <c r="I58" s="22">
        <f t="shared" si="2"/>
        <v>2.142245073</v>
      </c>
      <c r="J58" s="22">
        <f t="shared" si="3"/>
        <v>0.3946188341</v>
      </c>
      <c r="K58" s="22">
        <f t="shared" si="4"/>
        <v>0.002083727887</v>
      </c>
      <c r="L58" s="22">
        <f t="shared" si="5"/>
        <v>0.7744521979</v>
      </c>
      <c r="M58" s="22">
        <f t="shared" si="6"/>
        <v>0.75</v>
      </c>
      <c r="N58" s="22">
        <f t="shared" si="7"/>
        <v>0.9086409499</v>
      </c>
      <c r="O58" s="22">
        <f t="shared" si="8"/>
        <v>0.240214741</v>
      </c>
      <c r="P58" s="22">
        <f t="shared" si="9"/>
        <v>1.090651971</v>
      </c>
      <c r="Q58" s="18" t="s">
        <v>40</v>
      </c>
      <c r="R58" s="36" t="s">
        <v>57</v>
      </c>
      <c r="S58" s="38">
        <f t="shared" si="40"/>
        <v>1.00075449</v>
      </c>
      <c r="T58" s="38">
        <f t="shared" si="41"/>
        <v>1.010770189</v>
      </c>
      <c r="U58" s="38">
        <f t="shared" si="42"/>
        <v>1.0169731</v>
      </c>
      <c r="V58" s="38">
        <f t="shared" si="43"/>
        <v>1.021448488</v>
      </c>
      <c r="W58" s="38">
        <f t="shared" si="44"/>
        <v>1.02492914</v>
      </c>
      <c r="X58" s="38">
        <f t="shared" si="45"/>
        <v>1.027762453</v>
      </c>
      <c r="Y58" s="38">
        <f>AVERAGE(P563,P595)</f>
        <v>1.084837507</v>
      </c>
      <c r="Z58" s="48">
        <v>0.96</v>
      </c>
      <c r="AE58" s="22">
        <f t="shared" si="48"/>
        <v>150</v>
      </c>
      <c r="AF58" s="22">
        <f t="shared" si="49"/>
        <v>130</v>
      </c>
    </row>
    <row r="59">
      <c r="A59" s="18" t="s">
        <v>29</v>
      </c>
      <c r="B59" s="8" t="s">
        <v>80</v>
      </c>
      <c r="C59" s="8">
        <v>25.0</v>
      </c>
      <c r="D59" s="19">
        <v>0.88</v>
      </c>
      <c r="E59" s="45">
        <v>2.03</v>
      </c>
      <c r="F59" s="8">
        <v>0.006</v>
      </c>
      <c r="G59" s="21">
        <v>172.420968454</v>
      </c>
      <c r="H59" s="22">
        <f t="shared" si="1"/>
        <v>0.4668</v>
      </c>
      <c r="I59" s="22">
        <f t="shared" si="2"/>
        <v>2.142245073</v>
      </c>
      <c r="J59" s="22">
        <f t="shared" si="3"/>
        <v>0.4334975369</v>
      </c>
      <c r="K59" s="22">
        <f t="shared" si="4"/>
        <v>0.002514181082</v>
      </c>
      <c r="L59" s="22">
        <f t="shared" si="5"/>
        <v>0.8506312659</v>
      </c>
      <c r="M59" s="22">
        <f t="shared" si="6"/>
        <v>0.75</v>
      </c>
      <c r="N59" s="22">
        <f t="shared" si="7"/>
        <v>0.7679466171</v>
      </c>
      <c r="O59" s="22">
        <f t="shared" si="8"/>
        <v>0.2593311851</v>
      </c>
      <c r="P59" s="22">
        <f t="shared" si="9"/>
        <v>1.01025521</v>
      </c>
      <c r="Q59" s="18" t="s">
        <v>40</v>
      </c>
      <c r="R59" s="36" t="s">
        <v>58</v>
      </c>
      <c r="S59" s="38">
        <f t="shared" si="40"/>
        <v>1.010220934</v>
      </c>
      <c r="T59" s="38">
        <f t="shared" si="41"/>
        <v>1.022708857</v>
      </c>
      <c r="U59" s="38">
        <f t="shared" si="42"/>
        <v>1.030472086</v>
      </c>
      <c r="V59" s="38">
        <f t="shared" si="43"/>
        <v>1.036087189</v>
      </c>
      <c r="W59" s="38">
        <f t="shared" si="44"/>
        <v>1.040462345</v>
      </c>
      <c r="X59" s="38">
        <f t="shared" si="45"/>
        <v>1.044029053</v>
      </c>
      <c r="Y59" s="38">
        <f>AVERAGE(P596,P628)</f>
        <v>1.116896743</v>
      </c>
      <c r="Z59" s="48">
        <v>0.96</v>
      </c>
      <c r="AE59" s="22">
        <f t="shared" si="48"/>
        <v>143.3333333</v>
      </c>
      <c r="AF59" s="22">
        <f t="shared" si="49"/>
        <v>125</v>
      </c>
    </row>
    <row r="60">
      <c r="A60" s="18" t="s">
        <v>29</v>
      </c>
      <c r="B60" s="8" t="s">
        <v>80</v>
      </c>
      <c r="C60" s="8">
        <v>26.0</v>
      </c>
      <c r="D60" s="19">
        <v>0.88</v>
      </c>
      <c r="E60" s="45">
        <v>1.79</v>
      </c>
      <c r="F60" s="8">
        <v>0.005</v>
      </c>
      <c r="G60" s="21">
        <v>151.811413356999</v>
      </c>
      <c r="H60" s="22">
        <f t="shared" si="1"/>
        <v>0.389</v>
      </c>
      <c r="I60" s="22">
        <f t="shared" si="2"/>
        <v>2.570694087</v>
      </c>
      <c r="J60" s="22">
        <f t="shared" si="3"/>
        <v>0.4916201117</v>
      </c>
      <c r="K60" s="22">
        <f t="shared" si="4"/>
        <v>0.00323836068</v>
      </c>
      <c r="L60" s="22">
        <f t="shared" si="5"/>
        <v>1.159333123</v>
      </c>
      <c r="M60" s="22">
        <f t="shared" si="6"/>
        <v>0.5</v>
      </c>
      <c r="N60" s="22">
        <f t="shared" si="7"/>
        <v>0.5969789041</v>
      </c>
      <c r="O60" s="22">
        <f t="shared" si="8"/>
        <v>0.3349434602</v>
      </c>
      <c r="P60" s="22">
        <f t="shared" si="9"/>
        <v>1.064652603</v>
      </c>
      <c r="Q60" s="18" t="s">
        <v>40</v>
      </c>
      <c r="R60" s="36" t="s">
        <v>65</v>
      </c>
      <c r="S60" s="38">
        <f t="shared" si="40"/>
        <v>0.9930450175</v>
      </c>
      <c r="T60" s="38">
        <f t="shared" si="41"/>
        <v>1.001088271</v>
      </c>
      <c r="U60" s="38">
        <f t="shared" si="42"/>
        <v>1.006054385</v>
      </c>
      <c r="V60" s="38">
        <f t="shared" si="43"/>
        <v>1.009630221</v>
      </c>
      <c r="W60" s="38">
        <f t="shared" si="44"/>
        <v>1.0124071</v>
      </c>
      <c r="X60" s="38">
        <f t="shared" si="45"/>
        <v>1.014664846</v>
      </c>
      <c r="Y60" s="38">
        <f>AVERAGE(P629,P661)</f>
        <v>1.059638521</v>
      </c>
      <c r="Z60" s="48">
        <v>0.96</v>
      </c>
      <c r="AE60" s="22">
        <f t="shared" si="48"/>
        <v>140</v>
      </c>
      <c r="AF60" s="22">
        <f t="shared" si="49"/>
        <v>136.6666667</v>
      </c>
    </row>
    <row r="61">
      <c r="A61" s="18" t="s">
        <v>29</v>
      </c>
      <c r="B61" s="8" t="s">
        <v>80</v>
      </c>
      <c r="C61" s="8">
        <v>27.0</v>
      </c>
      <c r="D61" s="19">
        <v>0.88</v>
      </c>
      <c r="E61" s="45">
        <v>2.06</v>
      </c>
      <c r="F61" s="8">
        <v>0.006</v>
      </c>
      <c r="G61" s="21">
        <v>175.358089989</v>
      </c>
      <c r="H61" s="22">
        <f t="shared" si="1"/>
        <v>0.4668</v>
      </c>
      <c r="I61" s="22">
        <f t="shared" si="2"/>
        <v>2.142245073</v>
      </c>
      <c r="J61" s="22">
        <f t="shared" si="3"/>
        <v>0.427184466</v>
      </c>
      <c r="K61" s="22">
        <f t="shared" si="4"/>
        <v>0.002436069337</v>
      </c>
      <c r="L61" s="22">
        <f t="shared" si="5"/>
        <v>0.8363838057</v>
      </c>
      <c r="M61" s="22">
        <f t="shared" si="6"/>
        <v>0.75</v>
      </c>
      <c r="N61" s="22">
        <f t="shared" si="7"/>
        <v>0.7923116725</v>
      </c>
      <c r="O61" s="22">
        <f t="shared" si="8"/>
        <v>0.2558057834</v>
      </c>
      <c r="P61" s="22">
        <f t="shared" si="9"/>
        <v>1.024178099</v>
      </c>
      <c r="AE61" s="22">
        <f t="shared" si="48"/>
        <v>131.4285714</v>
      </c>
      <c r="AF61" s="22">
        <f t="shared" si="49"/>
        <v>127.5</v>
      </c>
    </row>
    <row r="62">
      <c r="A62" s="18" t="s">
        <v>29</v>
      </c>
      <c r="B62" s="8" t="s">
        <v>80</v>
      </c>
      <c r="C62" s="8">
        <v>28.0</v>
      </c>
      <c r="D62" s="19">
        <v>0.88</v>
      </c>
      <c r="E62" s="45">
        <v>1.65</v>
      </c>
      <c r="F62" s="8">
        <v>0.005</v>
      </c>
      <c r="G62" s="21">
        <v>140.71526864</v>
      </c>
      <c r="H62" s="22">
        <f t="shared" si="1"/>
        <v>0.389</v>
      </c>
      <c r="I62" s="22">
        <f t="shared" si="2"/>
        <v>2.570694087</v>
      </c>
      <c r="J62" s="22">
        <f t="shared" si="3"/>
        <v>0.5333333333</v>
      </c>
      <c r="K62" s="22">
        <f t="shared" si="4"/>
        <v>0.00379015965</v>
      </c>
      <c r="L62" s="22">
        <f t="shared" si="5"/>
        <v>1.250752684</v>
      </c>
      <c r="M62" s="22">
        <f t="shared" si="6"/>
        <v>0.5</v>
      </c>
      <c r="N62" s="22">
        <f t="shared" si="7"/>
        <v>0.5049302171</v>
      </c>
      <c r="O62" s="22">
        <f t="shared" si="8"/>
        <v>0.3554301947</v>
      </c>
      <c r="P62" s="22">
        <f t="shared" si="9"/>
        <v>1.003286811</v>
      </c>
      <c r="R62" s="50" t="s">
        <v>90</v>
      </c>
      <c r="V62" s="51" t="s">
        <v>91</v>
      </c>
      <c r="AE62" s="22">
        <f t="shared" si="48"/>
        <v>140</v>
      </c>
      <c r="AF62" s="22">
        <f t="shared" si="49"/>
        <v>136.25</v>
      </c>
    </row>
    <row r="63">
      <c r="A63" s="18" t="s">
        <v>29</v>
      </c>
      <c r="B63" s="8" t="s">
        <v>80</v>
      </c>
      <c r="C63" s="8">
        <v>29.0</v>
      </c>
      <c r="D63" s="19">
        <v>0.88</v>
      </c>
      <c r="E63" s="45">
        <v>1.83</v>
      </c>
      <c r="F63" s="8">
        <v>0.005</v>
      </c>
      <c r="G63" s="21">
        <v>155.779482896</v>
      </c>
      <c r="H63" s="22">
        <f t="shared" si="1"/>
        <v>0.389</v>
      </c>
      <c r="I63" s="22">
        <f t="shared" si="2"/>
        <v>2.570694087</v>
      </c>
      <c r="J63" s="22">
        <f t="shared" si="3"/>
        <v>0.4808743169</v>
      </c>
      <c r="K63" s="22">
        <f t="shared" si="4"/>
        <v>0.003086891213</v>
      </c>
      <c r="L63" s="22">
        <f t="shared" si="5"/>
        <v>1.129802184</v>
      </c>
      <c r="M63" s="22">
        <f t="shared" si="6"/>
        <v>0.5</v>
      </c>
      <c r="N63" s="22">
        <f t="shared" si="7"/>
        <v>0.6298962461</v>
      </c>
      <c r="O63" s="22">
        <f t="shared" si="8"/>
        <v>0.3281789508</v>
      </c>
      <c r="P63" s="22">
        <f t="shared" si="9"/>
        <v>1.086597497</v>
      </c>
      <c r="R63" s="52" t="s">
        <v>22</v>
      </c>
      <c r="S63" s="46" t="s">
        <v>81</v>
      </c>
      <c r="T63" s="46" t="s">
        <v>82</v>
      </c>
      <c r="U63" s="46" t="s">
        <v>83</v>
      </c>
      <c r="V63" s="46" t="s">
        <v>84</v>
      </c>
      <c r="W63" s="46" t="s">
        <v>85</v>
      </c>
      <c r="X63" s="46" t="s">
        <v>86</v>
      </c>
      <c r="AE63" s="22">
        <f t="shared" si="48"/>
        <v>131.6666667</v>
      </c>
      <c r="AF63" s="22">
        <f t="shared" si="49"/>
        <v>130</v>
      </c>
    </row>
    <row r="64">
      <c r="A64" s="18" t="s">
        <v>29</v>
      </c>
      <c r="B64" s="8" t="s">
        <v>80</v>
      </c>
      <c r="C64" s="8">
        <v>30.0</v>
      </c>
      <c r="D64" s="19">
        <v>0.88</v>
      </c>
      <c r="E64" s="45">
        <v>1.94</v>
      </c>
      <c r="F64" s="8">
        <v>0.006</v>
      </c>
      <c r="G64" s="21">
        <v>165.159483430999</v>
      </c>
      <c r="H64" s="22">
        <f t="shared" si="1"/>
        <v>0.4668</v>
      </c>
      <c r="I64" s="22">
        <f t="shared" si="2"/>
        <v>2.142245073</v>
      </c>
      <c r="J64" s="22">
        <f t="shared" si="3"/>
        <v>0.4536082474</v>
      </c>
      <c r="K64" s="22">
        <f t="shared" si="4"/>
        <v>0.002746486233</v>
      </c>
      <c r="L64" s="22">
        <f t="shared" si="5"/>
        <v>0.8880305485</v>
      </c>
      <c r="M64" s="22">
        <f t="shared" si="6"/>
        <v>0.75</v>
      </c>
      <c r="N64" s="22">
        <f t="shared" si="7"/>
        <v>0.7077085634</v>
      </c>
      <c r="O64" s="22">
        <f t="shared" si="8"/>
        <v>0.2684788853</v>
      </c>
      <c r="P64" s="22">
        <f t="shared" si="9"/>
        <v>0.9758334648</v>
      </c>
      <c r="R64" s="18" t="s">
        <v>29</v>
      </c>
      <c r="S64" s="22">
        <f t="shared" ref="S64:X64" si="50">AVERAGE(S41,S44)</f>
        <v>0.9351179985</v>
      </c>
      <c r="T64" s="22">
        <f t="shared" si="50"/>
        <v>0.9489960005</v>
      </c>
      <c r="U64" s="22">
        <f t="shared" si="50"/>
        <v>0.9576585489</v>
      </c>
      <c r="V64" s="22">
        <f t="shared" si="50"/>
        <v>0.9639410269</v>
      </c>
      <c r="W64" s="22">
        <f t="shared" si="50"/>
        <v>0.9688460604</v>
      </c>
      <c r="X64" s="22">
        <f t="shared" si="50"/>
        <v>0.9728511529</v>
      </c>
      <c r="AE64" s="22">
        <f t="shared" si="48"/>
        <v>146</v>
      </c>
      <c r="AF64" s="22">
        <f t="shared" si="49"/>
        <v>160</v>
      </c>
    </row>
    <row r="65">
      <c r="A65" s="18" t="s">
        <v>29</v>
      </c>
      <c r="B65" s="8" t="s">
        <v>80</v>
      </c>
      <c r="C65" s="8">
        <v>31.0</v>
      </c>
      <c r="D65" s="19">
        <v>0.88</v>
      </c>
      <c r="E65" s="45">
        <v>1.62</v>
      </c>
      <c r="F65" s="8">
        <v>0.005</v>
      </c>
      <c r="G65" s="21">
        <v>138.149521338999</v>
      </c>
      <c r="H65" s="22">
        <f t="shared" si="1"/>
        <v>0.389</v>
      </c>
      <c r="I65" s="22">
        <f t="shared" si="2"/>
        <v>2.570694087</v>
      </c>
      <c r="J65" s="22">
        <f t="shared" si="3"/>
        <v>0.5432098765</v>
      </c>
      <c r="K65" s="22">
        <f t="shared" si="4"/>
        <v>0.003932043132</v>
      </c>
      <c r="L65" s="22">
        <f t="shared" si="5"/>
        <v>1.273981975</v>
      </c>
      <c r="M65" s="22">
        <f t="shared" si="6"/>
        <v>0.5</v>
      </c>
      <c r="N65" s="22">
        <f t="shared" si="7"/>
        <v>0.4836459173</v>
      </c>
      <c r="O65" s="22">
        <f t="shared" si="8"/>
        <v>0.360529176</v>
      </c>
      <c r="P65" s="22">
        <f t="shared" si="9"/>
        <v>0.9890972782</v>
      </c>
      <c r="R65" s="18" t="s">
        <v>31</v>
      </c>
      <c r="S65" s="22">
        <f t="shared" ref="S65:X65" si="51">AVERAGE(S45,S48)</f>
        <v>0.9129611354</v>
      </c>
      <c r="T65" s="22">
        <f t="shared" si="51"/>
        <v>0.9210136638</v>
      </c>
      <c r="U65" s="22">
        <f t="shared" si="51"/>
        <v>0.9259913359</v>
      </c>
      <c r="V65" s="22">
        <f t="shared" si="51"/>
        <v>0.9295782575</v>
      </c>
      <c r="W65" s="22">
        <f t="shared" si="51"/>
        <v>0.9323653426</v>
      </c>
      <c r="X65" s="22">
        <f t="shared" si="51"/>
        <v>0.9346324158</v>
      </c>
      <c r="AE65" s="22">
        <f t="shared" si="48"/>
        <v>146</v>
      </c>
      <c r="AF65" s="22">
        <f t="shared" si="49"/>
        <v>170</v>
      </c>
    </row>
    <row r="66">
      <c r="A66" s="18" t="s">
        <v>29</v>
      </c>
      <c r="B66" s="8" t="s">
        <v>80</v>
      </c>
      <c r="C66" s="8">
        <v>32.0</v>
      </c>
      <c r="D66" s="19">
        <v>0.88</v>
      </c>
      <c r="E66" s="45">
        <v>1.6</v>
      </c>
      <c r="F66" s="8">
        <v>0.005</v>
      </c>
      <c r="G66" s="21">
        <v>135.999223067</v>
      </c>
      <c r="H66" s="22">
        <f t="shared" si="1"/>
        <v>0.389</v>
      </c>
      <c r="I66" s="22">
        <f t="shared" si="2"/>
        <v>2.570694087</v>
      </c>
      <c r="J66" s="22">
        <f t="shared" si="3"/>
        <v>0.55</v>
      </c>
      <c r="K66" s="22">
        <f t="shared" si="4"/>
        <v>0.00404414075</v>
      </c>
      <c r="L66" s="22">
        <f t="shared" si="5"/>
        <v>1.29412504</v>
      </c>
      <c r="M66" s="22">
        <f t="shared" si="6"/>
        <v>0.5</v>
      </c>
      <c r="N66" s="22">
        <f t="shared" si="7"/>
        <v>0.4658079982</v>
      </c>
      <c r="O66" s="22">
        <f t="shared" si="8"/>
        <v>0.3649165789</v>
      </c>
      <c r="P66" s="22">
        <f t="shared" si="9"/>
        <v>0.9772053321</v>
      </c>
      <c r="R66" s="18" t="s">
        <v>38</v>
      </c>
      <c r="S66" s="22">
        <f t="shared" ref="S66:X66" si="52">AVERAGE(S49,S52)</f>
        <v>0.9189267422</v>
      </c>
      <c r="T66" s="22">
        <f t="shared" si="52"/>
        <v>0.9259645873</v>
      </c>
      <c r="U66" s="22">
        <f t="shared" si="52"/>
        <v>0.9303094542</v>
      </c>
      <c r="V66" s="22">
        <f t="shared" si="52"/>
        <v>0.9334377545</v>
      </c>
      <c r="W66" s="22">
        <f t="shared" si="52"/>
        <v>0.9358669781</v>
      </c>
      <c r="X66" s="22">
        <f t="shared" si="52"/>
        <v>0.9378419916</v>
      </c>
      <c r="AE66" s="22">
        <f t="shared" si="48"/>
        <v>141.4285714</v>
      </c>
      <c r="AF66" s="22">
        <f t="shared" si="49"/>
        <v>152</v>
      </c>
    </row>
    <row r="67">
      <c r="A67" s="18" t="s">
        <v>29</v>
      </c>
      <c r="B67" s="8" t="s">
        <v>80</v>
      </c>
      <c r="C67" s="8">
        <v>33.0</v>
      </c>
      <c r="D67" s="19">
        <v>0.88</v>
      </c>
      <c r="E67" s="45">
        <v>1.33</v>
      </c>
      <c r="F67" s="8">
        <v>0.004</v>
      </c>
      <c r="G67" s="21">
        <v>112.915455237999</v>
      </c>
      <c r="H67" s="22">
        <f t="shared" si="1"/>
        <v>0.3112</v>
      </c>
      <c r="I67" s="22">
        <f t="shared" si="2"/>
        <v>3.213367609</v>
      </c>
      <c r="J67" s="22">
        <f t="shared" si="3"/>
        <v>0.6616541353</v>
      </c>
      <c r="K67" s="22">
        <f t="shared" si="4"/>
        <v>0.005859730485</v>
      </c>
      <c r="L67" s="22">
        <f t="shared" si="5"/>
        <v>1.948360386</v>
      </c>
      <c r="M67" s="22">
        <f t="shared" si="6"/>
        <v>0.25</v>
      </c>
      <c r="N67" s="22">
        <f t="shared" si="7"/>
        <v>0.2743153155</v>
      </c>
      <c r="O67" s="22">
        <f t="shared" si="8"/>
        <v>0.5037035655</v>
      </c>
      <c r="P67" s="22">
        <f t="shared" si="9"/>
        <v>1.019452252</v>
      </c>
      <c r="R67" s="18" t="s">
        <v>39</v>
      </c>
      <c r="S67" s="22">
        <f t="shared" ref="S67:X67" si="53">AVERAGE(S53,S56)</f>
        <v>0.9465160556</v>
      </c>
      <c r="T67" s="22">
        <f t="shared" si="53"/>
        <v>0.9504816231</v>
      </c>
      <c r="U67" s="22">
        <f t="shared" si="53"/>
        <v>0.9529196593</v>
      </c>
      <c r="V67" s="22">
        <f t="shared" si="53"/>
        <v>0.9546702802</v>
      </c>
      <c r="W67" s="22">
        <f t="shared" si="53"/>
        <v>0.9560269531</v>
      </c>
      <c r="X67" s="22">
        <f t="shared" si="53"/>
        <v>0.9571281991</v>
      </c>
      <c r="AE67" s="22">
        <f t="shared" si="48"/>
        <v>138</v>
      </c>
      <c r="AF67" s="22">
        <f t="shared" si="49"/>
        <v>130</v>
      </c>
    </row>
    <row r="68">
      <c r="A68" s="18" t="s">
        <v>29</v>
      </c>
      <c r="B68" s="8" t="s">
        <v>92</v>
      </c>
      <c r="C68" s="8">
        <v>1.0</v>
      </c>
      <c r="D68" s="19">
        <v>0.88</v>
      </c>
      <c r="E68" s="45">
        <v>1.61</v>
      </c>
      <c r="F68" s="8">
        <v>0.005</v>
      </c>
      <c r="G68" s="21">
        <v>136.934154431</v>
      </c>
      <c r="H68" s="22">
        <f t="shared" si="1"/>
        <v>0.389</v>
      </c>
      <c r="I68" s="22">
        <f t="shared" si="2"/>
        <v>2.570694087</v>
      </c>
      <c r="J68" s="22">
        <f t="shared" si="3"/>
        <v>0.5465838509</v>
      </c>
      <c r="K68" s="22">
        <f t="shared" si="4"/>
        <v>0.003991581598</v>
      </c>
      <c r="L68" s="22">
        <f t="shared" si="5"/>
        <v>1.285289274</v>
      </c>
      <c r="M68" s="22">
        <f t="shared" si="6"/>
        <v>0.5</v>
      </c>
      <c r="N68" s="22">
        <f t="shared" si="7"/>
        <v>0.4735637734</v>
      </c>
      <c r="O68" s="22">
        <f t="shared" si="8"/>
        <v>0.3629959216</v>
      </c>
      <c r="P68" s="22">
        <f t="shared" si="9"/>
        <v>0.9823758489</v>
      </c>
      <c r="R68" s="18" t="s">
        <v>40</v>
      </c>
      <c r="S68" s="22">
        <f t="shared" ref="S68:X68" si="54">AVERAGE(S57,S60)</f>
        <v>0.99967542</v>
      </c>
      <c r="T68" s="22">
        <f t="shared" si="54"/>
        <v>1.00942641</v>
      </c>
      <c r="U68" s="22">
        <f t="shared" si="54"/>
        <v>1.015465619</v>
      </c>
      <c r="V68" s="22">
        <f t="shared" si="54"/>
        <v>1.019823033</v>
      </c>
      <c r="W68" s="22">
        <f t="shared" si="54"/>
        <v>1.023212024</v>
      </c>
      <c r="X68" s="22">
        <f t="shared" si="54"/>
        <v>1.025970786</v>
      </c>
      <c r="AE68" s="22">
        <f t="shared" si="48"/>
        <v>152</v>
      </c>
      <c r="AF68" s="22">
        <f t="shared" si="49"/>
        <v>130</v>
      </c>
    </row>
    <row r="69">
      <c r="A69" s="18" t="s">
        <v>29</v>
      </c>
      <c r="B69" s="8" t="s">
        <v>92</v>
      </c>
      <c r="C69" s="8">
        <v>2.0</v>
      </c>
      <c r="D69" s="19">
        <v>0.88</v>
      </c>
      <c r="E69" s="45">
        <v>1.48</v>
      </c>
      <c r="F69" s="8">
        <v>0.004</v>
      </c>
      <c r="G69" s="21">
        <v>125.243389638</v>
      </c>
      <c r="H69" s="22">
        <f t="shared" si="1"/>
        <v>0.3112</v>
      </c>
      <c r="I69" s="22">
        <f t="shared" si="2"/>
        <v>3.213367609</v>
      </c>
      <c r="J69" s="22">
        <f t="shared" si="3"/>
        <v>0.5945945946</v>
      </c>
      <c r="K69" s="22">
        <f t="shared" si="4"/>
        <v>0.004747512793</v>
      </c>
      <c r="L69" s="22">
        <f t="shared" si="5"/>
        <v>1.756579734</v>
      </c>
      <c r="M69" s="22">
        <f t="shared" si="6"/>
        <v>0.25</v>
      </c>
      <c r="N69" s="22">
        <f t="shared" si="7"/>
        <v>0.3765823824</v>
      </c>
      <c r="O69" s="22">
        <f t="shared" si="8"/>
        <v>0.4662831489</v>
      </c>
      <c r="P69" s="22">
        <f t="shared" si="9"/>
        <v>1.101265906</v>
      </c>
      <c r="AE69" s="22">
        <f t="shared" si="48"/>
        <v>130</v>
      </c>
      <c r="AF69" s="22">
        <f t="shared" si="49"/>
        <v>153.3333333</v>
      </c>
    </row>
    <row r="70">
      <c r="A70" s="18" t="s">
        <v>29</v>
      </c>
      <c r="B70" s="8" t="s">
        <v>92</v>
      </c>
      <c r="C70" s="8">
        <v>3.0</v>
      </c>
      <c r="D70" s="19">
        <v>0.88</v>
      </c>
      <c r="E70" s="45">
        <v>1.65</v>
      </c>
      <c r="F70" s="8">
        <v>0.005</v>
      </c>
      <c r="G70" s="21">
        <v>140.050890407</v>
      </c>
      <c r="H70" s="22">
        <f t="shared" si="1"/>
        <v>0.389</v>
      </c>
      <c r="I70" s="22">
        <f t="shared" si="2"/>
        <v>2.570694087</v>
      </c>
      <c r="J70" s="22">
        <f t="shared" si="3"/>
        <v>0.5333333333</v>
      </c>
      <c r="K70" s="22">
        <f t="shared" si="4"/>
        <v>0.00380813954</v>
      </c>
      <c r="L70" s="22">
        <f t="shared" si="5"/>
        <v>1.256686048</v>
      </c>
      <c r="M70" s="22">
        <f t="shared" si="6"/>
        <v>0.5</v>
      </c>
      <c r="N70" s="22">
        <f t="shared" si="7"/>
        <v>0.4994188304</v>
      </c>
      <c r="O70" s="22">
        <f t="shared" si="8"/>
        <v>0.356736643</v>
      </c>
      <c r="P70" s="22">
        <f t="shared" si="9"/>
        <v>0.9996125536</v>
      </c>
      <c r="R70" s="53"/>
      <c r="AE70" s="22">
        <f t="shared" si="48"/>
        <v>147.1428571</v>
      </c>
      <c r="AF70" s="22">
        <f t="shared" si="49"/>
        <v>123.3333333</v>
      </c>
    </row>
    <row r="71">
      <c r="A71" s="18" t="s">
        <v>29</v>
      </c>
      <c r="B71" s="8" t="s">
        <v>92</v>
      </c>
      <c r="C71" s="8">
        <v>4.0</v>
      </c>
      <c r="D71" s="19">
        <v>0.88</v>
      </c>
      <c r="E71" s="45">
        <v>1.5</v>
      </c>
      <c r="F71" s="8">
        <v>0.004</v>
      </c>
      <c r="G71" s="21">
        <v>127.324169831999</v>
      </c>
      <c r="H71" s="22">
        <f t="shared" si="1"/>
        <v>0.3112</v>
      </c>
      <c r="I71" s="22">
        <f t="shared" si="2"/>
        <v>3.213367609</v>
      </c>
      <c r="J71" s="22">
        <f t="shared" si="3"/>
        <v>0.5866666667</v>
      </c>
      <c r="K71" s="22">
        <f t="shared" si="4"/>
        <v>0.004607661432</v>
      </c>
      <c r="L71" s="22">
        <f t="shared" si="5"/>
        <v>1.727873037</v>
      </c>
      <c r="M71" s="22">
        <f t="shared" si="6"/>
        <v>0.25</v>
      </c>
      <c r="N71" s="22">
        <f t="shared" si="7"/>
        <v>0.3938436105</v>
      </c>
      <c r="O71" s="22">
        <f t="shared" si="8"/>
        <v>0.4605087423</v>
      </c>
      <c r="P71" s="22">
        <f t="shared" si="9"/>
        <v>1.115074888</v>
      </c>
      <c r="R71" s="16" t="s">
        <v>22</v>
      </c>
      <c r="AE71" s="22">
        <f t="shared" si="48"/>
        <v>136</v>
      </c>
      <c r="AF71" s="22">
        <f t="shared" si="49"/>
        <v>150</v>
      </c>
    </row>
    <row r="72">
      <c r="A72" s="18" t="s">
        <v>29</v>
      </c>
      <c r="B72" s="8" t="s">
        <v>92</v>
      </c>
      <c r="C72" s="8">
        <v>5.0</v>
      </c>
      <c r="D72" s="19">
        <v>0.88</v>
      </c>
      <c r="E72" s="45">
        <v>1.8</v>
      </c>
      <c r="F72" s="8">
        <v>0.005</v>
      </c>
      <c r="G72" s="21">
        <v>152.283124414999</v>
      </c>
      <c r="H72" s="22">
        <f t="shared" si="1"/>
        <v>0.389</v>
      </c>
      <c r="I72" s="22">
        <f t="shared" si="2"/>
        <v>2.570694087</v>
      </c>
      <c r="J72" s="22">
        <f t="shared" si="3"/>
        <v>0.4888888889</v>
      </c>
      <c r="K72" s="22">
        <f t="shared" si="4"/>
        <v>0.003210394394</v>
      </c>
      <c r="L72" s="22">
        <f t="shared" si="5"/>
        <v>1.155741982</v>
      </c>
      <c r="M72" s="22">
        <f t="shared" si="6"/>
        <v>0.5</v>
      </c>
      <c r="N72" s="22">
        <f t="shared" si="7"/>
        <v>0.6008920095</v>
      </c>
      <c r="O72" s="22">
        <f t="shared" si="8"/>
        <v>0.3341247485</v>
      </c>
      <c r="P72" s="22">
        <f t="shared" si="9"/>
        <v>1.06726134</v>
      </c>
      <c r="R72" s="18"/>
      <c r="AE72" s="22">
        <f t="shared" si="48"/>
        <v>130</v>
      </c>
      <c r="AF72" s="22">
        <f t="shared" si="49"/>
        <v>160</v>
      </c>
    </row>
    <row r="73">
      <c r="A73" s="18" t="s">
        <v>29</v>
      </c>
      <c r="B73" s="8" t="s">
        <v>92</v>
      </c>
      <c r="C73" s="8">
        <v>6.0</v>
      </c>
      <c r="D73" s="19">
        <v>0.88</v>
      </c>
      <c r="E73" s="45">
        <v>1.33</v>
      </c>
      <c r="F73" s="8">
        <v>0.004</v>
      </c>
      <c r="G73" s="21">
        <v>113.021181444999</v>
      </c>
      <c r="H73" s="22">
        <f t="shared" si="1"/>
        <v>0.3112</v>
      </c>
      <c r="I73" s="22">
        <f t="shared" si="2"/>
        <v>3.213367609</v>
      </c>
      <c r="J73" s="22">
        <f t="shared" si="3"/>
        <v>0.6616541353</v>
      </c>
      <c r="K73" s="22">
        <f t="shared" si="4"/>
        <v>0.005854248972</v>
      </c>
      <c r="L73" s="22">
        <f t="shared" si="5"/>
        <v>1.946537783</v>
      </c>
      <c r="M73" s="22">
        <f t="shared" si="6"/>
        <v>0.25</v>
      </c>
      <c r="N73" s="22">
        <f t="shared" si="7"/>
        <v>0.2751923731</v>
      </c>
      <c r="O73" s="22">
        <f t="shared" si="8"/>
        <v>0.503357126</v>
      </c>
      <c r="P73" s="22">
        <f t="shared" si="9"/>
        <v>1.020153899</v>
      </c>
      <c r="R73" s="18"/>
      <c r="AE73" s="22">
        <f t="shared" si="48"/>
        <v>142</v>
      </c>
      <c r="AF73" s="22">
        <f t="shared" si="49"/>
        <v>122.5</v>
      </c>
    </row>
    <row r="74">
      <c r="A74" s="18" t="s">
        <v>29</v>
      </c>
      <c r="B74" s="8" t="s">
        <v>92</v>
      </c>
      <c r="C74" s="8">
        <v>7.0</v>
      </c>
      <c r="D74" s="19">
        <v>0.88</v>
      </c>
      <c r="E74" s="45">
        <v>1.75</v>
      </c>
      <c r="F74" s="8">
        <v>0.005</v>
      </c>
      <c r="G74" s="21">
        <v>148.089176722</v>
      </c>
      <c r="H74" s="22">
        <f t="shared" si="1"/>
        <v>0.389</v>
      </c>
      <c r="I74" s="22">
        <f t="shared" si="2"/>
        <v>2.570694087</v>
      </c>
      <c r="J74" s="22">
        <f t="shared" si="3"/>
        <v>0.5028571429</v>
      </c>
      <c r="K74" s="22">
        <f t="shared" si="4"/>
        <v>0.003395637372</v>
      </c>
      <c r="L74" s="22">
        <f t="shared" si="5"/>
        <v>1.18847308</v>
      </c>
      <c r="M74" s="22">
        <f t="shared" si="6"/>
        <v>0.5</v>
      </c>
      <c r="N74" s="22">
        <f t="shared" si="7"/>
        <v>0.5661008826</v>
      </c>
      <c r="O74" s="22">
        <f t="shared" si="8"/>
        <v>0.3415473715</v>
      </c>
      <c r="P74" s="22">
        <f t="shared" si="9"/>
        <v>1.044067255</v>
      </c>
      <c r="R74" s="18"/>
      <c r="AE74" s="22">
        <f t="shared" si="48"/>
        <v>142.8571429</v>
      </c>
      <c r="AF74" s="22">
        <f t="shared" si="49"/>
        <v>140</v>
      </c>
    </row>
    <row r="75">
      <c r="A75" s="18" t="s">
        <v>29</v>
      </c>
      <c r="B75" s="8" t="s">
        <v>92</v>
      </c>
      <c r="C75" s="8">
        <v>8.0</v>
      </c>
      <c r="D75" s="19">
        <v>0.88</v>
      </c>
      <c r="E75" s="45">
        <v>1.29</v>
      </c>
      <c r="F75" s="8">
        <v>0.004</v>
      </c>
      <c r="G75" s="21">
        <v>109.377250003999</v>
      </c>
      <c r="H75" s="22">
        <f t="shared" si="1"/>
        <v>0.3112</v>
      </c>
      <c r="I75" s="22">
        <f t="shared" si="2"/>
        <v>3.213367609</v>
      </c>
      <c r="J75" s="22">
        <f t="shared" si="3"/>
        <v>0.6821705426</v>
      </c>
      <c r="K75" s="22">
        <f t="shared" si="4"/>
        <v>0.006236859517</v>
      </c>
      <c r="L75" s="22">
        <f t="shared" si="5"/>
        <v>2.011387194</v>
      </c>
      <c r="M75" s="22">
        <f t="shared" si="6"/>
        <v>0.25</v>
      </c>
      <c r="N75" s="22">
        <f t="shared" si="7"/>
        <v>0.2449639368</v>
      </c>
      <c r="O75" s="22">
        <f t="shared" si="8"/>
        <v>0.5155789249</v>
      </c>
      <c r="P75" s="22">
        <f t="shared" si="9"/>
        <v>0.9959711494</v>
      </c>
      <c r="R75" s="18"/>
      <c r="AE75" s="22">
        <f t="shared" si="48"/>
        <v>150</v>
      </c>
      <c r="AF75" s="22">
        <f t="shared" si="49"/>
        <v>136.6666667</v>
      </c>
    </row>
    <row r="76">
      <c r="A76" s="18" t="s">
        <v>29</v>
      </c>
      <c r="B76" s="8" t="s">
        <v>92</v>
      </c>
      <c r="C76" s="8">
        <v>9.0</v>
      </c>
      <c r="D76" s="19">
        <v>0.88</v>
      </c>
      <c r="E76" s="45">
        <v>1.81</v>
      </c>
      <c r="F76" s="8">
        <v>0.005</v>
      </c>
      <c r="G76" s="21">
        <v>153.316311488999</v>
      </c>
      <c r="H76" s="22">
        <f t="shared" si="1"/>
        <v>0.389</v>
      </c>
      <c r="I76" s="22">
        <f t="shared" si="2"/>
        <v>2.570694087</v>
      </c>
      <c r="J76" s="22">
        <f t="shared" si="3"/>
        <v>0.4861878453</v>
      </c>
      <c r="K76" s="22">
        <f t="shared" si="4"/>
        <v>0.00317114233</v>
      </c>
      <c r="L76" s="22">
        <f t="shared" si="5"/>
        <v>1.147953524</v>
      </c>
      <c r="M76" s="22">
        <f t="shared" si="6"/>
        <v>0.5</v>
      </c>
      <c r="N76" s="22">
        <f t="shared" si="7"/>
        <v>0.6094628704</v>
      </c>
      <c r="O76" s="22">
        <f t="shared" si="8"/>
        <v>0.3323454364</v>
      </c>
      <c r="P76" s="22">
        <f t="shared" si="9"/>
        <v>1.072975247</v>
      </c>
      <c r="R76" s="18"/>
      <c r="AE76" s="22">
        <f t="shared" si="48"/>
        <v>140</v>
      </c>
      <c r="AF76" s="22">
        <f t="shared" si="49"/>
        <v>127.5</v>
      </c>
    </row>
    <row r="77">
      <c r="A77" s="18" t="s">
        <v>29</v>
      </c>
      <c r="B77" s="8" t="s">
        <v>92</v>
      </c>
      <c r="C77" s="8">
        <v>10.0</v>
      </c>
      <c r="D77" s="19">
        <v>0.88</v>
      </c>
      <c r="E77" s="45">
        <v>1.51</v>
      </c>
      <c r="F77" s="8">
        <v>0.004</v>
      </c>
      <c r="G77" s="21">
        <v>128.218550801999</v>
      </c>
      <c r="H77" s="22">
        <f t="shared" si="1"/>
        <v>0.3112</v>
      </c>
      <c r="I77" s="22">
        <f t="shared" si="2"/>
        <v>3.213367609</v>
      </c>
      <c r="J77" s="22">
        <f t="shared" si="3"/>
        <v>0.582781457</v>
      </c>
      <c r="K77" s="22">
        <f t="shared" si="4"/>
        <v>0.004545219497</v>
      </c>
      <c r="L77" s="22">
        <f t="shared" si="5"/>
        <v>1.71582036</v>
      </c>
      <c r="M77" s="22">
        <f t="shared" si="6"/>
        <v>0.25</v>
      </c>
      <c r="N77" s="22">
        <f t="shared" si="7"/>
        <v>0.4012629977</v>
      </c>
      <c r="O77" s="22">
        <f t="shared" si="8"/>
        <v>0.4580704472</v>
      </c>
      <c r="P77" s="22">
        <f t="shared" si="9"/>
        <v>1.121010398</v>
      </c>
      <c r="AE77" s="22">
        <f t="shared" si="48"/>
        <v>131.6666667</v>
      </c>
      <c r="AF77" s="22">
        <f t="shared" si="49"/>
        <v>143.3333333</v>
      </c>
    </row>
    <row r="78">
      <c r="A78" s="18" t="s">
        <v>29</v>
      </c>
      <c r="B78" s="8" t="s">
        <v>92</v>
      </c>
      <c r="C78" s="8">
        <v>11.0</v>
      </c>
      <c r="D78" s="19">
        <v>0.88</v>
      </c>
      <c r="E78" s="45">
        <v>1.41</v>
      </c>
      <c r="F78" s="8">
        <v>0.004</v>
      </c>
      <c r="G78" s="21">
        <v>119.57697416</v>
      </c>
      <c r="H78" s="22">
        <f t="shared" si="1"/>
        <v>0.3112</v>
      </c>
      <c r="I78" s="22">
        <f t="shared" si="2"/>
        <v>3.213367609</v>
      </c>
      <c r="J78" s="22">
        <f t="shared" si="3"/>
        <v>0.6241134752</v>
      </c>
      <c r="K78" s="22">
        <f t="shared" si="4"/>
        <v>0.005219344941</v>
      </c>
      <c r="L78" s="22">
        <f t="shared" si="5"/>
        <v>1.839819092</v>
      </c>
      <c r="M78" s="22">
        <f t="shared" si="6"/>
        <v>0.25</v>
      </c>
      <c r="N78" s="22">
        <f t="shared" si="7"/>
        <v>0.329576317</v>
      </c>
      <c r="O78" s="22">
        <f t="shared" si="8"/>
        <v>0.482768202</v>
      </c>
      <c r="P78" s="22">
        <f t="shared" si="9"/>
        <v>1.063661054</v>
      </c>
      <c r="AE78" s="22">
        <f t="shared" si="48"/>
        <v>133.3333333</v>
      </c>
      <c r="AF78" s="22">
        <f t="shared" si="49"/>
        <v>122.5</v>
      </c>
    </row>
    <row r="79">
      <c r="A79" s="18" t="s">
        <v>29</v>
      </c>
      <c r="B79" s="8" t="s">
        <v>92</v>
      </c>
      <c r="C79" s="8">
        <v>12.0</v>
      </c>
      <c r="D79" s="19">
        <v>0.88</v>
      </c>
      <c r="E79" s="45">
        <v>1.78</v>
      </c>
      <c r="F79" s="8">
        <v>0.005</v>
      </c>
      <c r="G79" s="21">
        <v>151.011650512999</v>
      </c>
      <c r="H79" s="22">
        <f t="shared" si="1"/>
        <v>0.389</v>
      </c>
      <c r="I79" s="22">
        <f t="shared" si="2"/>
        <v>2.570694087</v>
      </c>
      <c r="J79" s="22">
        <f t="shared" si="3"/>
        <v>0.4943820225</v>
      </c>
      <c r="K79" s="22">
        <f t="shared" si="4"/>
        <v>0.003273800537</v>
      </c>
      <c r="L79" s="22">
        <f t="shared" si="5"/>
        <v>1.165472991</v>
      </c>
      <c r="M79" s="22">
        <f t="shared" si="6"/>
        <v>0.5</v>
      </c>
      <c r="N79" s="22">
        <f t="shared" si="7"/>
        <v>0.5903444268</v>
      </c>
      <c r="O79" s="22">
        <f t="shared" si="8"/>
        <v>0.3363407517</v>
      </c>
      <c r="P79" s="22">
        <f t="shared" si="9"/>
        <v>1.060229618</v>
      </c>
      <c r="AE79" s="22">
        <f t="shared" si="48"/>
        <v>138.5714286</v>
      </c>
      <c r="AF79" s="22">
        <f t="shared" si="49"/>
        <v>140</v>
      </c>
    </row>
    <row r="80">
      <c r="A80" s="18" t="s">
        <v>29</v>
      </c>
      <c r="B80" s="8" t="s">
        <v>92</v>
      </c>
      <c r="C80" s="8">
        <v>13.0</v>
      </c>
      <c r="D80" s="19">
        <v>0.88</v>
      </c>
      <c r="E80" s="45">
        <v>1.53</v>
      </c>
      <c r="F80" s="8">
        <v>0.004</v>
      </c>
      <c r="G80" s="21">
        <v>130.061013204</v>
      </c>
      <c r="H80" s="22">
        <f t="shared" si="1"/>
        <v>0.3112</v>
      </c>
      <c r="I80" s="22">
        <f t="shared" si="2"/>
        <v>3.213367609</v>
      </c>
      <c r="J80" s="22">
        <f t="shared" si="3"/>
        <v>0.5751633987</v>
      </c>
      <c r="K80" s="22">
        <f t="shared" si="4"/>
        <v>0.004422258327</v>
      </c>
      <c r="L80" s="22">
        <f t="shared" si="5"/>
        <v>1.69151381</v>
      </c>
      <c r="M80" s="22">
        <f t="shared" si="6"/>
        <v>0.25</v>
      </c>
      <c r="N80" s="22">
        <f t="shared" si="7"/>
        <v>0.4165472473</v>
      </c>
      <c r="O80" s="22">
        <f t="shared" si="8"/>
        <v>0.4531279626</v>
      </c>
      <c r="P80" s="22">
        <f t="shared" si="9"/>
        <v>1.133237798</v>
      </c>
      <c r="AE80" s="22">
        <f t="shared" si="48"/>
        <v>148.5714286</v>
      </c>
      <c r="AF80" s="22">
        <f t="shared" si="49"/>
        <v>153.3333333</v>
      </c>
    </row>
    <row r="81">
      <c r="A81" s="18" t="s">
        <v>29</v>
      </c>
      <c r="B81" s="8" t="s">
        <v>92</v>
      </c>
      <c r="C81" s="8">
        <v>14.0</v>
      </c>
      <c r="D81" s="19">
        <v>0.88</v>
      </c>
      <c r="E81" s="45">
        <v>1.55</v>
      </c>
      <c r="F81" s="8">
        <v>0.004</v>
      </c>
      <c r="G81" s="21">
        <v>131.104859089</v>
      </c>
      <c r="H81" s="22">
        <f t="shared" si="1"/>
        <v>0.3112</v>
      </c>
      <c r="I81" s="22">
        <f t="shared" si="2"/>
        <v>3.213367609</v>
      </c>
      <c r="J81" s="22">
        <f t="shared" si="3"/>
        <v>0.5677419355</v>
      </c>
      <c r="K81" s="22">
        <f t="shared" si="4"/>
        <v>0.004330441598</v>
      </c>
      <c r="L81" s="22">
        <f t="shared" si="5"/>
        <v>1.678046119</v>
      </c>
      <c r="M81" s="22">
        <f t="shared" si="6"/>
        <v>0.25</v>
      </c>
      <c r="N81" s="22">
        <f t="shared" si="7"/>
        <v>0.425206529</v>
      </c>
      <c r="O81" s="22">
        <f t="shared" si="8"/>
        <v>0.4503748439</v>
      </c>
      <c r="P81" s="22">
        <f t="shared" si="9"/>
        <v>1.140165223</v>
      </c>
      <c r="AE81" s="22">
        <f t="shared" si="48"/>
        <v>136.6666667</v>
      </c>
      <c r="AF81" s="22">
        <f t="shared" si="49"/>
        <v>126.6666667</v>
      </c>
    </row>
    <row r="82">
      <c r="A82" s="18" t="s">
        <v>29</v>
      </c>
      <c r="B82" s="8" t="s">
        <v>92</v>
      </c>
      <c r="C82" s="8">
        <v>15.0</v>
      </c>
      <c r="D82" s="19">
        <v>0.88</v>
      </c>
      <c r="E82" s="45">
        <v>1.51</v>
      </c>
      <c r="F82" s="8">
        <v>0.004</v>
      </c>
      <c r="G82" s="21">
        <v>128.007171732</v>
      </c>
      <c r="H82" s="22">
        <f t="shared" si="1"/>
        <v>0.3112</v>
      </c>
      <c r="I82" s="22">
        <f t="shared" si="2"/>
        <v>3.213367609</v>
      </c>
      <c r="J82" s="22">
        <f t="shared" si="3"/>
        <v>0.582781457</v>
      </c>
      <c r="K82" s="22">
        <f t="shared" si="4"/>
        <v>0.004552725047</v>
      </c>
      <c r="L82" s="22">
        <f t="shared" si="5"/>
        <v>1.718653705</v>
      </c>
      <c r="M82" s="22">
        <f t="shared" si="6"/>
        <v>0.25</v>
      </c>
      <c r="N82" s="22">
        <f t="shared" si="7"/>
        <v>0.3995094909</v>
      </c>
      <c r="O82" s="22">
        <f t="shared" si="8"/>
        <v>0.4586443838</v>
      </c>
      <c r="P82" s="22">
        <f t="shared" si="9"/>
        <v>1.119607593</v>
      </c>
      <c r="AE82" s="22">
        <f t="shared" si="48"/>
        <v>126</v>
      </c>
      <c r="AF82" s="22">
        <f t="shared" si="49"/>
        <v>143.3333333</v>
      </c>
    </row>
    <row r="83">
      <c r="A83" s="18" t="s">
        <v>29</v>
      </c>
      <c r="B83" s="8" t="s">
        <v>92</v>
      </c>
      <c r="C83" s="8">
        <v>16.0</v>
      </c>
      <c r="D83" s="19">
        <v>0.88</v>
      </c>
      <c r="E83" s="45">
        <v>1.51</v>
      </c>
      <c r="F83" s="8">
        <v>0.004</v>
      </c>
      <c r="G83" s="21">
        <v>128.204375968</v>
      </c>
      <c r="H83" s="22">
        <f t="shared" si="1"/>
        <v>0.3112</v>
      </c>
      <c r="I83" s="22">
        <f t="shared" si="2"/>
        <v>3.213367609</v>
      </c>
      <c r="J83" s="22">
        <f t="shared" si="3"/>
        <v>0.582781457</v>
      </c>
      <c r="K83" s="22">
        <f t="shared" si="4"/>
        <v>0.004545722036</v>
      </c>
      <c r="L83" s="22">
        <f t="shared" si="5"/>
        <v>1.716010069</v>
      </c>
      <c r="M83" s="22">
        <f t="shared" si="6"/>
        <v>0.25</v>
      </c>
      <c r="N83" s="22">
        <f t="shared" si="7"/>
        <v>0.4011454096</v>
      </c>
      <c r="O83" s="22">
        <f t="shared" si="8"/>
        <v>0.4581088898</v>
      </c>
      <c r="P83" s="22">
        <f t="shared" si="9"/>
        <v>1.120916328</v>
      </c>
      <c r="AE83" s="22">
        <f t="shared" si="48"/>
        <v>144</v>
      </c>
      <c r="AF83" s="22">
        <f t="shared" si="49"/>
        <v>140</v>
      </c>
    </row>
    <row r="84">
      <c r="A84" s="18" t="s">
        <v>29</v>
      </c>
      <c r="B84" s="8" t="s">
        <v>92</v>
      </c>
      <c r="C84" s="8">
        <v>17.0</v>
      </c>
      <c r="D84" s="19">
        <v>0.88</v>
      </c>
      <c r="E84" s="45">
        <v>1.67</v>
      </c>
      <c r="F84" s="8">
        <v>0.005</v>
      </c>
      <c r="G84" s="21">
        <v>141.470530809</v>
      </c>
      <c r="H84" s="22">
        <f t="shared" si="1"/>
        <v>0.389</v>
      </c>
      <c r="I84" s="22">
        <f t="shared" si="2"/>
        <v>2.570694087</v>
      </c>
      <c r="J84" s="22">
        <f t="shared" si="3"/>
        <v>0.5269461078</v>
      </c>
      <c r="K84" s="22">
        <f t="shared" si="4"/>
        <v>0.003724776494</v>
      </c>
      <c r="L84" s="22">
        <f t="shared" si="5"/>
        <v>1.244075349</v>
      </c>
      <c r="M84" s="22">
        <f t="shared" si="6"/>
        <v>0.5</v>
      </c>
      <c r="N84" s="22">
        <f t="shared" si="7"/>
        <v>0.5111955365</v>
      </c>
      <c r="O84" s="22">
        <f t="shared" si="8"/>
        <v>0.353956604</v>
      </c>
      <c r="P84" s="22">
        <f t="shared" si="9"/>
        <v>1.007463691</v>
      </c>
      <c r="AE84" s="22">
        <f t="shared" si="48"/>
        <v>131.6666667</v>
      </c>
      <c r="AF84" s="22">
        <f t="shared" si="49"/>
        <v>133.3333333</v>
      </c>
    </row>
    <row r="85">
      <c r="A85" s="18" t="s">
        <v>29</v>
      </c>
      <c r="B85" s="8" t="s">
        <v>92</v>
      </c>
      <c r="C85" s="8">
        <v>18.0</v>
      </c>
      <c r="D85" s="19">
        <v>0.88</v>
      </c>
      <c r="E85" s="45">
        <v>1.6</v>
      </c>
      <c r="F85" s="8">
        <v>0.005</v>
      </c>
      <c r="G85" s="21">
        <v>135.595286476</v>
      </c>
      <c r="H85" s="22">
        <f t="shared" si="1"/>
        <v>0.389</v>
      </c>
      <c r="I85" s="22">
        <f t="shared" si="2"/>
        <v>2.570694087</v>
      </c>
      <c r="J85" s="22">
        <f t="shared" si="3"/>
        <v>0.55</v>
      </c>
      <c r="K85" s="22">
        <f t="shared" si="4"/>
        <v>0.004056188193</v>
      </c>
      <c r="L85" s="22">
        <f t="shared" si="5"/>
        <v>1.297980222</v>
      </c>
      <c r="M85" s="22">
        <f t="shared" si="6"/>
        <v>0.5</v>
      </c>
      <c r="N85" s="22">
        <f t="shared" si="7"/>
        <v>0.4624571197</v>
      </c>
      <c r="O85" s="22">
        <f t="shared" si="8"/>
        <v>0.3657526999</v>
      </c>
      <c r="P85" s="22">
        <f t="shared" si="9"/>
        <v>0.9749714131</v>
      </c>
      <c r="AE85" s="22">
        <f t="shared" si="48"/>
        <v>135</v>
      </c>
      <c r="AF85" s="22">
        <f t="shared" si="49"/>
        <v>146</v>
      </c>
    </row>
    <row r="86">
      <c r="A86" s="18" t="s">
        <v>29</v>
      </c>
      <c r="B86" s="8" t="s">
        <v>92</v>
      </c>
      <c r="C86" s="8">
        <v>19.0</v>
      </c>
      <c r="D86" s="19">
        <v>0.88</v>
      </c>
      <c r="E86" s="45">
        <v>1.56</v>
      </c>
      <c r="F86" s="8">
        <v>0.004</v>
      </c>
      <c r="G86" s="21">
        <v>131.960798701999</v>
      </c>
      <c r="H86" s="22">
        <f t="shared" si="1"/>
        <v>0.3112</v>
      </c>
      <c r="I86" s="22">
        <f t="shared" si="2"/>
        <v>3.213367609</v>
      </c>
      <c r="J86" s="22">
        <f t="shared" si="3"/>
        <v>0.5641025641</v>
      </c>
      <c r="K86" s="22">
        <f t="shared" si="4"/>
        <v>0.004274773794</v>
      </c>
      <c r="L86" s="22">
        <f t="shared" si="5"/>
        <v>1.66716178</v>
      </c>
      <c r="M86" s="22">
        <f t="shared" si="6"/>
        <v>0.25</v>
      </c>
      <c r="N86" s="22">
        <f t="shared" si="7"/>
        <v>0.4323070238</v>
      </c>
      <c r="O86" s="22">
        <f t="shared" si="8"/>
        <v>0.4481421632</v>
      </c>
      <c r="P86" s="22">
        <f t="shared" si="9"/>
        <v>1.145845619</v>
      </c>
      <c r="AE86" s="22">
        <f t="shared" si="48"/>
        <v>138.3333333</v>
      </c>
      <c r="AF86" s="22">
        <f t="shared" si="49"/>
        <v>160</v>
      </c>
    </row>
    <row r="87">
      <c r="A87" s="18" t="s">
        <v>29</v>
      </c>
      <c r="B87" s="8" t="s">
        <v>92</v>
      </c>
      <c r="C87" s="8">
        <v>20.0</v>
      </c>
      <c r="D87" s="19">
        <v>0.88</v>
      </c>
      <c r="E87" s="45">
        <v>1.37</v>
      </c>
      <c r="F87" s="8">
        <v>0.004</v>
      </c>
      <c r="G87" s="21">
        <v>116.248882590999</v>
      </c>
      <c r="H87" s="22">
        <f t="shared" si="1"/>
        <v>0.3112</v>
      </c>
      <c r="I87" s="22">
        <f t="shared" si="2"/>
        <v>3.213367609</v>
      </c>
      <c r="J87" s="22">
        <f t="shared" si="3"/>
        <v>0.6423357664</v>
      </c>
      <c r="K87" s="22">
        <f t="shared" si="4"/>
        <v>0.00552552207</v>
      </c>
      <c r="L87" s="22">
        <f t="shared" si="5"/>
        <v>1.892491309</v>
      </c>
      <c r="M87" s="22">
        <f t="shared" si="6"/>
        <v>0.25</v>
      </c>
      <c r="N87" s="22">
        <f t="shared" si="7"/>
        <v>0.3019679479</v>
      </c>
      <c r="O87" s="22">
        <f t="shared" si="8"/>
        <v>0.4930053532</v>
      </c>
      <c r="P87" s="22">
        <f t="shared" si="9"/>
        <v>1.041574358</v>
      </c>
      <c r="AE87" s="22">
        <f t="shared" si="48"/>
        <v>128</v>
      </c>
      <c r="AF87" s="22">
        <f t="shared" si="49"/>
        <v>133.3333333</v>
      </c>
    </row>
    <row r="88">
      <c r="A88" s="18" t="s">
        <v>29</v>
      </c>
      <c r="B88" s="8" t="s">
        <v>92</v>
      </c>
      <c r="C88" s="8">
        <v>21.0</v>
      </c>
      <c r="D88" s="19">
        <v>0.88</v>
      </c>
      <c r="E88" s="45">
        <v>2.18</v>
      </c>
      <c r="F88" s="8">
        <v>0.006</v>
      </c>
      <c r="G88" s="21">
        <v>185.165858963</v>
      </c>
      <c r="H88" s="22">
        <f t="shared" si="1"/>
        <v>0.4668</v>
      </c>
      <c r="I88" s="22">
        <f t="shared" si="2"/>
        <v>2.142245073</v>
      </c>
      <c r="J88" s="22">
        <f t="shared" si="3"/>
        <v>0.4036697248</v>
      </c>
      <c r="K88" s="22">
        <f t="shared" si="4"/>
        <v>0.002180044027</v>
      </c>
      <c r="L88" s="22">
        <f t="shared" si="5"/>
        <v>0.792082663</v>
      </c>
      <c r="M88" s="22">
        <f t="shared" si="6"/>
        <v>0.75</v>
      </c>
      <c r="N88" s="22">
        <f t="shared" si="7"/>
        <v>0.8736725667</v>
      </c>
      <c r="O88" s="22">
        <f t="shared" si="8"/>
        <v>0.2446978728</v>
      </c>
      <c r="P88" s="22">
        <f t="shared" si="9"/>
        <v>1.070670038</v>
      </c>
    </row>
    <row r="89">
      <c r="A89" s="18" t="s">
        <v>29</v>
      </c>
      <c r="B89" s="8" t="s">
        <v>92</v>
      </c>
      <c r="C89" s="8">
        <v>22.0</v>
      </c>
      <c r="D89" s="19">
        <v>0.88</v>
      </c>
      <c r="E89" s="45">
        <v>1.77</v>
      </c>
      <c r="F89" s="8">
        <v>0.005</v>
      </c>
      <c r="G89" s="21">
        <v>150.019774233</v>
      </c>
      <c r="H89" s="22">
        <f t="shared" si="1"/>
        <v>0.389</v>
      </c>
      <c r="I89" s="22">
        <f t="shared" si="2"/>
        <v>2.570694087</v>
      </c>
      <c r="J89" s="22">
        <f t="shared" si="3"/>
        <v>0.4971751412</v>
      </c>
      <c r="K89" s="22">
        <f t="shared" si="4"/>
        <v>0.003314064054</v>
      </c>
      <c r="L89" s="22">
        <f t="shared" si="5"/>
        <v>1.173178675</v>
      </c>
      <c r="M89" s="22">
        <f t="shared" si="6"/>
        <v>0.5</v>
      </c>
      <c r="N89" s="22">
        <f t="shared" si="7"/>
        <v>0.5821162619</v>
      </c>
      <c r="O89" s="22">
        <f t="shared" si="8"/>
        <v>0.3380899703</v>
      </c>
      <c r="P89" s="22">
        <f t="shared" si="9"/>
        <v>1.054744175</v>
      </c>
    </row>
    <row r="90">
      <c r="A90" s="18" t="s">
        <v>29</v>
      </c>
      <c r="B90" s="8" t="s">
        <v>92</v>
      </c>
      <c r="C90" s="8">
        <v>23.0</v>
      </c>
      <c r="D90" s="19">
        <v>0.88</v>
      </c>
      <c r="E90" s="45">
        <v>1.52</v>
      </c>
      <c r="F90" s="8">
        <v>0.004</v>
      </c>
      <c r="G90" s="21">
        <v>128.839997035999</v>
      </c>
      <c r="H90" s="22">
        <f t="shared" si="1"/>
        <v>0.3112</v>
      </c>
      <c r="I90" s="22">
        <f t="shared" si="2"/>
        <v>3.213367609</v>
      </c>
      <c r="J90" s="22">
        <f t="shared" si="3"/>
        <v>0.5789473684</v>
      </c>
      <c r="K90" s="22">
        <f t="shared" si="4"/>
        <v>0.004493537579</v>
      </c>
      <c r="L90" s="22">
        <f t="shared" si="5"/>
        <v>1.70754428</v>
      </c>
      <c r="M90" s="22">
        <f t="shared" si="6"/>
        <v>0.25</v>
      </c>
      <c r="N90" s="22">
        <f t="shared" si="7"/>
        <v>0.4064182396</v>
      </c>
      <c r="O90" s="22">
        <f t="shared" si="8"/>
        <v>0.4563913848</v>
      </c>
      <c r="P90" s="22">
        <f t="shared" si="9"/>
        <v>1.125134592</v>
      </c>
      <c r="AE90" s="49" t="s">
        <v>93</v>
      </c>
    </row>
    <row r="91">
      <c r="A91" s="18" t="s">
        <v>29</v>
      </c>
      <c r="B91" s="8" t="s">
        <v>92</v>
      </c>
      <c r="C91" s="8">
        <v>24.0</v>
      </c>
      <c r="D91" s="19">
        <v>0.88</v>
      </c>
      <c r="E91" s="45">
        <v>1.71</v>
      </c>
      <c r="F91" s="8">
        <v>0.005</v>
      </c>
      <c r="G91" s="21">
        <v>145.204504205</v>
      </c>
      <c r="H91" s="22">
        <f t="shared" si="1"/>
        <v>0.389</v>
      </c>
      <c r="I91" s="22">
        <f t="shared" si="2"/>
        <v>2.570694087</v>
      </c>
      <c r="J91" s="22">
        <f t="shared" si="3"/>
        <v>0.514619883</v>
      </c>
      <c r="K91" s="22">
        <f t="shared" si="4"/>
        <v>0.00354410413</v>
      </c>
      <c r="L91" s="22">
        <f t="shared" si="5"/>
        <v>1.212083612</v>
      </c>
      <c r="M91" s="22">
        <f t="shared" si="6"/>
        <v>0.5</v>
      </c>
      <c r="N91" s="22">
        <f t="shared" si="7"/>
        <v>0.5421709209</v>
      </c>
      <c r="O91" s="22">
        <f t="shared" si="8"/>
        <v>0.3468471833</v>
      </c>
      <c r="P91" s="22">
        <f t="shared" si="9"/>
        <v>1.028113947</v>
      </c>
      <c r="AE91" s="8" t="s">
        <v>73</v>
      </c>
      <c r="AF91" s="8" t="s">
        <v>74</v>
      </c>
      <c r="AG91" s="17" t="s">
        <v>75</v>
      </c>
      <c r="AH91" s="17" t="s">
        <v>76</v>
      </c>
      <c r="AI91" s="17" t="s">
        <v>77</v>
      </c>
      <c r="AJ91" s="17" t="s">
        <v>78</v>
      </c>
      <c r="AK91" s="17" t="s">
        <v>79</v>
      </c>
    </row>
    <row r="92">
      <c r="A92" s="18" t="s">
        <v>29</v>
      </c>
      <c r="B92" s="8" t="s">
        <v>92</v>
      </c>
      <c r="C92" s="8">
        <v>25.0</v>
      </c>
      <c r="D92" s="19">
        <v>0.88</v>
      </c>
      <c r="E92" s="45">
        <v>1.78</v>
      </c>
      <c r="F92" s="8">
        <v>0.005</v>
      </c>
      <c r="G92" s="21">
        <v>150.54092742</v>
      </c>
      <c r="H92" s="22">
        <f t="shared" si="1"/>
        <v>0.389</v>
      </c>
      <c r="I92" s="22">
        <f t="shared" si="2"/>
        <v>2.570694087</v>
      </c>
      <c r="J92" s="22">
        <f t="shared" si="3"/>
        <v>0.4943820225</v>
      </c>
      <c r="K92" s="22">
        <f t="shared" si="4"/>
        <v>0.003284037311</v>
      </c>
      <c r="L92" s="22">
        <f t="shared" si="5"/>
        <v>1.169117283</v>
      </c>
      <c r="M92" s="22">
        <f t="shared" si="6"/>
        <v>0.5</v>
      </c>
      <c r="N92" s="22">
        <f t="shared" si="7"/>
        <v>0.5864395172</v>
      </c>
      <c r="O92" s="22">
        <f t="shared" si="8"/>
        <v>0.3371686309</v>
      </c>
      <c r="P92" s="22">
        <f t="shared" si="9"/>
        <v>1.057626345</v>
      </c>
      <c r="AE92" s="22">
        <f t="shared" ref="AE92:AE124" si="57">E266/F266</f>
        <v>294</v>
      </c>
      <c r="AF92" s="22">
        <f t="shared" ref="AF92:AF124" si="58">E365/F365</f>
        <v>127.5</v>
      </c>
      <c r="AG92" s="22">
        <f t="shared" ref="AG92:AH92" si="55">100*(AK13-AK10)/AK10</f>
        <v>-30</v>
      </c>
      <c r="AH92" s="22">
        <f t="shared" si="55"/>
        <v>45.83333333</v>
      </c>
      <c r="AI92" s="22">
        <f>100*(R8-Q8)/Q8</f>
        <v>-65.24822695</v>
      </c>
      <c r="AJ92" s="22">
        <f t="shared" ref="AJ92:AK92" si="56">(2*(S8*U8))/(S8+U8)</f>
        <v>0.009944134078</v>
      </c>
      <c r="AK92" s="22">
        <f t="shared" si="56"/>
        <v>0.00683082827</v>
      </c>
    </row>
    <row r="93">
      <c r="A93" s="18" t="s">
        <v>29</v>
      </c>
      <c r="B93" s="8" t="s">
        <v>92</v>
      </c>
      <c r="C93" s="8">
        <v>26.0</v>
      </c>
      <c r="D93" s="19">
        <v>0.88</v>
      </c>
      <c r="E93" s="45">
        <v>1.76</v>
      </c>
      <c r="F93" s="8">
        <v>0.005</v>
      </c>
      <c r="G93" s="21">
        <v>148.867696094999</v>
      </c>
      <c r="H93" s="22">
        <f t="shared" si="1"/>
        <v>0.389</v>
      </c>
      <c r="I93" s="22">
        <f t="shared" si="2"/>
        <v>2.570694087</v>
      </c>
      <c r="J93" s="22">
        <f t="shared" si="3"/>
        <v>0.5</v>
      </c>
      <c r="K93" s="22">
        <f t="shared" si="4"/>
        <v>0.00335868703</v>
      </c>
      <c r="L93" s="22">
        <f t="shared" si="5"/>
        <v>1.182257834</v>
      </c>
      <c r="M93" s="22">
        <f t="shared" si="6"/>
        <v>0.5</v>
      </c>
      <c r="N93" s="22">
        <f t="shared" si="7"/>
        <v>0.5725591335</v>
      </c>
      <c r="O93" s="22">
        <f t="shared" si="8"/>
        <v>0.3401446907</v>
      </c>
      <c r="P93" s="22">
        <f t="shared" si="9"/>
        <v>1.048372756</v>
      </c>
      <c r="AE93" s="22">
        <f t="shared" si="57"/>
        <v>292</v>
      </c>
      <c r="AF93" s="22">
        <f t="shared" si="58"/>
        <v>142.5</v>
      </c>
    </row>
    <row r="94">
      <c r="A94" s="18" t="s">
        <v>29</v>
      </c>
      <c r="B94" s="8" t="s">
        <v>92</v>
      </c>
      <c r="C94" s="8">
        <v>27.0</v>
      </c>
      <c r="D94" s="19">
        <v>0.88</v>
      </c>
      <c r="E94" s="45">
        <v>1.54</v>
      </c>
      <c r="F94" s="8">
        <v>0.004</v>
      </c>
      <c r="G94" s="21">
        <v>130.227906496</v>
      </c>
      <c r="H94" s="22">
        <f t="shared" si="1"/>
        <v>0.3112</v>
      </c>
      <c r="I94" s="22">
        <f t="shared" si="2"/>
        <v>3.213367609</v>
      </c>
      <c r="J94" s="22">
        <f t="shared" si="3"/>
        <v>0.5714285714</v>
      </c>
      <c r="K94" s="22">
        <f t="shared" si="4"/>
        <v>0.004387911829</v>
      </c>
      <c r="L94" s="22">
        <f t="shared" si="5"/>
        <v>1.689346054</v>
      </c>
      <c r="M94" s="22">
        <f t="shared" si="6"/>
        <v>0.25</v>
      </c>
      <c r="N94" s="22">
        <f t="shared" si="7"/>
        <v>0.4179317199</v>
      </c>
      <c r="O94" s="22">
        <f t="shared" si="8"/>
        <v>0.4526855271</v>
      </c>
      <c r="P94" s="22">
        <f t="shared" si="9"/>
        <v>1.134345376</v>
      </c>
      <c r="AE94" s="22">
        <f t="shared" si="57"/>
        <v>251.6666667</v>
      </c>
      <c r="AF94" s="22">
        <f t="shared" si="58"/>
        <v>142.5</v>
      </c>
    </row>
    <row r="95">
      <c r="A95" s="18" t="s">
        <v>29</v>
      </c>
      <c r="B95" s="8" t="s">
        <v>92</v>
      </c>
      <c r="C95" s="8">
        <v>28.0</v>
      </c>
      <c r="D95" s="19">
        <v>0.88</v>
      </c>
      <c r="E95" s="45">
        <v>1.7</v>
      </c>
      <c r="F95" s="8">
        <v>0.005</v>
      </c>
      <c r="G95" s="21">
        <v>144.477405196999</v>
      </c>
      <c r="H95" s="22">
        <f t="shared" si="1"/>
        <v>0.389</v>
      </c>
      <c r="I95" s="22">
        <f t="shared" si="2"/>
        <v>2.570694087</v>
      </c>
      <c r="J95" s="22">
        <f t="shared" si="3"/>
        <v>0.5176470588</v>
      </c>
      <c r="K95" s="22">
        <f t="shared" si="4"/>
        <v>0.003582892828</v>
      </c>
      <c r="L95" s="22">
        <f t="shared" si="5"/>
        <v>1.218183561</v>
      </c>
      <c r="M95" s="22">
        <f t="shared" si="6"/>
        <v>0.5</v>
      </c>
      <c r="N95" s="22">
        <f t="shared" si="7"/>
        <v>0.5361392306</v>
      </c>
      <c r="O95" s="22">
        <f t="shared" si="8"/>
        <v>0.3482090877</v>
      </c>
      <c r="P95" s="22">
        <f t="shared" si="9"/>
        <v>1.02409282</v>
      </c>
      <c r="AE95" s="22">
        <f t="shared" si="57"/>
        <v>292</v>
      </c>
      <c r="AF95" s="22">
        <f t="shared" si="58"/>
        <v>132</v>
      </c>
    </row>
    <row r="96">
      <c r="A96" s="18" t="s">
        <v>29</v>
      </c>
      <c r="B96" s="8" t="s">
        <v>92</v>
      </c>
      <c r="C96" s="8">
        <v>29.0</v>
      </c>
      <c r="D96" s="19">
        <v>0.88</v>
      </c>
      <c r="E96" s="45">
        <v>1.93</v>
      </c>
      <c r="F96" s="8">
        <v>0.006</v>
      </c>
      <c r="G96" s="21">
        <v>163.235858129</v>
      </c>
      <c r="H96" s="22">
        <f t="shared" si="1"/>
        <v>0.4668</v>
      </c>
      <c r="I96" s="22">
        <f t="shared" si="2"/>
        <v>2.142245073</v>
      </c>
      <c r="J96" s="22">
        <f t="shared" si="3"/>
        <v>0.4559585492</v>
      </c>
      <c r="K96" s="22">
        <f t="shared" si="4"/>
        <v>0.00279324993</v>
      </c>
      <c r="L96" s="22">
        <f t="shared" si="5"/>
        <v>0.898495394</v>
      </c>
      <c r="M96" s="22">
        <f t="shared" si="6"/>
        <v>0.75</v>
      </c>
      <c r="N96" s="22">
        <f t="shared" si="7"/>
        <v>0.6917510225</v>
      </c>
      <c r="O96" s="22">
        <f t="shared" si="8"/>
        <v>0.2710113281</v>
      </c>
      <c r="P96" s="22">
        <f t="shared" si="9"/>
        <v>0.96671487</v>
      </c>
      <c r="AE96" s="22">
        <f t="shared" si="57"/>
        <v>280</v>
      </c>
      <c r="AF96" s="22">
        <f t="shared" si="58"/>
        <v>152.5</v>
      </c>
    </row>
    <row r="97">
      <c r="A97" s="18" t="s">
        <v>29</v>
      </c>
      <c r="B97" s="8" t="s">
        <v>92</v>
      </c>
      <c r="C97" s="8">
        <v>30.0</v>
      </c>
      <c r="D97" s="19">
        <v>0.88</v>
      </c>
      <c r="E97" s="45">
        <v>1.78</v>
      </c>
      <c r="F97" s="8">
        <v>0.005</v>
      </c>
      <c r="G97" s="21">
        <v>150.854762347999</v>
      </c>
      <c r="H97" s="22">
        <f t="shared" si="1"/>
        <v>0.389</v>
      </c>
      <c r="I97" s="22">
        <f t="shared" si="2"/>
        <v>2.570694087</v>
      </c>
      <c r="J97" s="22">
        <f t="shared" si="3"/>
        <v>0.4943820225</v>
      </c>
      <c r="K97" s="22">
        <f t="shared" si="4"/>
        <v>0.003277205272</v>
      </c>
      <c r="L97" s="22">
        <f t="shared" si="5"/>
        <v>1.166685077</v>
      </c>
      <c r="M97" s="22">
        <f t="shared" si="6"/>
        <v>0.5</v>
      </c>
      <c r="N97" s="22">
        <f t="shared" si="7"/>
        <v>0.5890429523</v>
      </c>
      <c r="O97" s="22">
        <f t="shared" si="8"/>
        <v>0.336616225</v>
      </c>
      <c r="P97" s="22">
        <f t="shared" si="9"/>
        <v>1.059361968</v>
      </c>
      <c r="AE97" s="22">
        <f t="shared" si="57"/>
        <v>250</v>
      </c>
      <c r="AF97" s="22">
        <f t="shared" si="58"/>
        <v>145</v>
      </c>
    </row>
    <row r="98">
      <c r="A98" s="18" t="s">
        <v>29</v>
      </c>
      <c r="B98" s="8" t="s">
        <v>92</v>
      </c>
      <c r="C98" s="8">
        <v>31.0</v>
      </c>
      <c r="D98" s="19">
        <v>0.88</v>
      </c>
      <c r="E98" s="45">
        <v>1.64</v>
      </c>
      <c r="F98" s="8">
        <v>0.005</v>
      </c>
      <c r="G98" s="21">
        <v>139.149127699</v>
      </c>
      <c r="H98" s="22">
        <f t="shared" si="1"/>
        <v>0.389</v>
      </c>
      <c r="I98" s="22">
        <f t="shared" si="2"/>
        <v>2.570694087</v>
      </c>
      <c r="J98" s="22">
        <f t="shared" si="3"/>
        <v>0.5365853659</v>
      </c>
      <c r="K98" s="22">
        <f t="shared" si="4"/>
        <v>0.003856189217</v>
      </c>
      <c r="L98" s="22">
        <f t="shared" si="5"/>
        <v>1.264830063</v>
      </c>
      <c r="M98" s="22">
        <f t="shared" si="6"/>
        <v>0.5</v>
      </c>
      <c r="N98" s="22">
        <f t="shared" si="7"/>
        <v>0.4919382076</v>
      </c>
      <c r="O98" s="22">
        <f t="shared" si="8"/>
        <v>0.3585253312</v>
      </c>
      <c r="P98" s="22">
        <f t="shared" si="9"/>
        <v>0.9946254717</v>
      </c>
      <c r="AE98" s="22">
        <f t="shared" si="57"/>
        <v>257.1428571</v>
      </c>
      <c r="AF98" s="22">
        <f t="shared" si="58"/>
        <v>138</v>
      </c>
    </row>
    <row r="99">
      <c r="A99" s="18" t="s">
        <v>29</v>
      </c>
      <c r="B99" s="8" t="s">
        <v>92</v>
      </c>
      <c r="C99" s="8">
        <v>32.0</v>
      </c>
      <c r="D99" s="19">
        <v>0.88</v>
      </c>
      <c r="E99" s="45">
        <v>2.02</v>
      </c>
      <c r="F99" s="8">
        <v>0.006</v>
      </c>
      <c r="G99" s="21">
        <v>171.271153613</v>
      </c>
      <c r="H99" s="22">
        <f t="shared" si="1"/>
        <v>0.4668</v>
      </c>
      <c r="I99" s="22">
        <f t="shared" si="2"/>
        <v>2.142245073</v>
      </c>
      <c r="J99" s="22">
        <f t="shared" si="3"/>
        <v>0.4356435644</v>
      </c>
      <c r="K99" s="22">
        <f t="shared" si="4"/>
        <v>0.002543589829</v>
      </c>
      <c r="L99" s="22">
        <f t="shared" si="5"/>
        <v>0.8563419091</v>
      </c>
      <c r="M99" s="22">
        <f t="shared" si="6"/>
        <v>0.75</v>
      </c>
      <c r="N99" s="22">
        <f t="shared" si="7"/>
        <v>0.758408264</v>
      </c>
      <c r="O99" s="22">
        <f t="shared" si="8"/>
        <v>0.2607379076</v>
      </c>
      <c r="P99" s="22">
        <f t="shared" si="9"/>
        <v>1.004804722</v>
      </c>
      <c r="AE99" s="22">
        <f t="shared" si="57"/>
        <v>263.3333333</v>
      </c>
      <c r="AF99" s="22">
        <f t="shared" si="58"/>
        <v>126</v>
      </c>
    </row>
    <row r="100">
      <c r="A100" s="18" t="s">
        <v>29</v>
      </c>
      <c r="B100" s="8" t="s">
        <v>92</v>
      </c>
      <c r="C100" s="8">
        <v>33.0</v>
      </c>
      <c r="D100" s="19">
        <v>0.88</v>
      </c>
      <c r="E100" s="45">
        <v>1.47</v>
      </c>
      <c r="F100" s="8">
        <v>0.004</v>
      </c>
      <c r="G100" s="21">
        <v>124.256419233999</v>
      </c>
      <c r="H100" s="22">
        <f t="shared" si="1"/>
        <v>0.3112</v>
      </c>
      <c r="I100" s="22">
        <f t="shared" si="2"/>
        <v>3.213367609</v>
      </c>
      <c r="J100" s="22">
        <f t="shared" si="3"/>
        <v>0.5986394558</v>
      </c>
      <c r="K100" s="22">
        <f t="shared" si="4"/>
        <v>0.004817774884</v>
      </c>
      <c r="L100" s="22">
        <f t="shared" si="5"/>
        <v>1.77053227</v>
      </c>
      <c r="M100" s="22">
        <f t="shared" si="6"/>
        <v>0.25</v>
      </c>
      <c r="N100" s="22">
        <f t="shared" si="7"/>
        <v>0.3683949144</v>
      </c>
      <c r="O100" s="22">
        <f t="shared" si="8"/>
        <v>0.4690730441</v>
      </c>
      <c r="P100" s="22">
        <f t="shared" si="9"/>
        <v>1.094715932</v>
      </c>
      <c r="AE100" s="22">
        <f t="shared" si="57"/>
        <v>253.3333333</v>
      </c>
      <c r="AF100" s="22">
        <f t="shared" si="58"/>
        <v>127.5</v>
      </c>
    </row>
    <row r="101">
      <c r="A101" s="18" t="s">
        <v>29</v>
      </c>
      <c r="B101" s="8" t="s">
        <v>94</v>
      </c>
      <c r="C101" s="8">
        <v>1.0</v>
      </c>
      <c r="D101" s="19">
        <v>0.88</v>
      </c>
      <c r="E101" s="45">
        <v>1.32</v>
      </c>
      <c r="F101" s="8">
        <v>0.003</v>
      </c>
      <c r="G101" s="21">
        <v>84.3820230879999</v>
      </c>
      <c r="H101" s="22">
        <f t="shared" si="1"/>
        <v>0.2334</v>
      </c>
      <c r="I101" s="22">
        <f t="shared" si="2"/>
        <v>4.284490146</v>
      </c>
      <c r="J101" s="22">
        <f t="shared" si="3"/>
        <v>0.6666666667</v>
      </c>
      <c r="K101" s="22">
        <f t="shared" si="4"/>
        <v>0.007900576951</v>
      </c>
      <c r="L101" s="22">
        <f t="shared" si="5"/>
        <v>3.476253858</v>
      </c>
      <c r="M101" s="22">
        <f t="shared" si="6"/>
        <v>0</v>
      </c>
      <c r="N101" s="22">
        <f t="shared" si="7"/>
        <v>0.03761463866</v>
      </c>
      <c r="O101" s="22">
        <f t="shared" si="8"/>
        <v>0.7732605441</v>
      </c>
      <c r="P101" s="22">
        <f t="shared" si="9"/>
        <v>1.037614639</v>
      </c>
      <c r="AE101" s="22">
        <f t="shared" si="57"/>
        <v>268.3333333</v>
      </c>
      <c r="AF101" s="22">
        <f t="shared" si="58"/>
        <v>155</v>
      </c>
    </row>
    <row r="102">
      <c r="A102" s="18" t="s">
        <v>29</v>
      </c>
      <c r="B102" s="8" t="s">
        <v>94</v>
      </c>
      <c r="C102" s="8">
        <v>2.0</v>
      </c>
      <c r="D102" s="19">
        <v>0.88</v>
      </c>
      <c r="E102" s="45">
        <v>1.39</v>
      </c>
      <c r="F102" s="8">
        <v>0.003</v>
      </c>
      <c r="G102" s="21">
        <v>88.4922985749999</v>
      </c>
      <c r="H102" s="22">
        <f t="shared" si="1"/>
        <v>0.2334</v>
      </c>
      <c r="I102" s="22">
        <f t="shared" si="2"/>
        <v>4.284490146</v>
      </c>
      <c r="J102" s="22">
        <f t="shared" si="3"/>
        <v>0.6330935252</v>
      </c>
      <c r="K102" s="22">
        <f t="shared" si="4"/>
        <v>0.007154221727</v>
      </c>
      <c r="L102" s="22">
        <f t="shared" si="5"/>
        <v>3.3147894</v>
      </c>
      <c r="M102" s="22">
        <f t="shared" si="6"/>
        <v>0</v>
      </c>
      <c r="N102" s="22">
        <f t="shared" si="7"/>
        <v>0.07171165807</v>
      </c>
      <c r="O102" s="22">
        <f t="shared" si="8"/>
        <v>0.7486588897</v>
      </c>
      <c r="P102" s="22">
        <f t="shared" si="9"/>
        <v>1.071711658</v>
      </c>
      <c r="AE102" s="22">
        <f t="shared" si="57"/>
        <v>246.6666667</v>
      </c>
      <c r="AF102" s="22">
        <f t="shared" si="58"/>
        <v>126</v>
      </c>
    </row>
    <row r="103">
      <c r="A103" s="18" t="s">
        <v>29</v>
      </c>
      <c r="B103" s="8" t="s">
        <v>94</v>
      </c>
      <c r="C103" s="8">
        <v>3.0</v>
      </c>
      <c r="D103" s="19">
        <v>0.88</v>
      </c>
      <c r="E103" s="45">
        <v>1.54</v>
      </c>
      <c r="F103" s="8">
        <v>0.003</v>
      </c>
      <c r="G103" s="21">
        <v>97.6923703169999</v>
      </c>
      <c r="H103" s="22">
        <f t="shared" si="1"/>
        <v>0.2334</v>
      </c>
      <c r="I103" s="22">
        <f t="shared" si="2"/>
        <v>4.284490146</v>
      </c>
      <c r="J103" s="22">
        <f t="shared" si="3"/>
        <v>0.5714285714</v>
      </c>
      <c r="K103" s="22">
        <f t="shared" si="4"/>
        <v>0.005849265092</v>
      </c>
      <c r="L103" s="22">
        <f t="shared" si="5"/>
        <v>3.002622747</v>
      </c>
      <c r="M103" s="22">
        <f t="shared" si="6"/>
        <v>0</v>
      </c>
      <c r="N103" s="22">
        <f t="shared" si="7"/>
        <v>0.148031366</v>
      </c>
      <c r="O103" s="22">
        <f t="shared" si="8"/>
        <v>0.698888971</v>
      </c>
      <c r="P103" s="22">
        <f t="shared" si="9"/>
        <v>1.148031366</v>
      </c>
      <c r="AE103" s="22">
        <f t="shared" si="57"/>
        <v>255</v>
      </c>
      <c r="AF103" s="22">
        <f t="shared" si="58"/>
        <v>155</v>
      </c>
    </row>
    <row r="104">
      <c r="A104" s="18" t="s">
        <v>29</v>
      </c>
      <c r="B104" s="8" t="s">
        <v>94</v>
      </c>
      <c r="C104" s="8">
        <v>4.0</v>
      </c>
      <c r="D104" s="19">
        <v>0.88</v>
      </c>
      <c r="E104" s="45">
        <v>1.64</v>
      </c>
      <c r="F104" s="8">
        <v>0.003</v>
      </c>
      <c r="G104" s="21">
        <v>104.219286075999</v>
      </c>
      <c r="H104" s="22">
        <f t="shared" si="1"/>
        <v>0.2334</v>
      </c>
      <c r="I104" s="22">
        <f t="shared" si="2"/>
        <v>4.284490146</v>
      </c>
      <c r="J104" s="22">
        <f t="shared" si="3"/>
        <v>0.5365853659</v>
      </c>
      <c r="K104" s="22">
        <f t="shared" si="4"/>
        <v>0.005148618706</v>
      </c>
      <c r="L104" s="22">
        <f t="shared" si="5"/>
        <v>2.814578226</v>
      </c>
      <c r="M104" s="22">
        <f t="shared" si="6"/>
        <v>0</v>
      </c>
      <c r="N104" s="22">
        <f t="shared" si="7"/>
        <v>0.2021757595</v>
      </c>
      <c r="O104" s="22">
        <f t="shared" si="8"/>
        <v>0.6674119435</v>
      </c>
      <c r="P104" s="22">
        <f t="shared" si="9"/>
        <v>1.202175759</v>
      </c>
      <c r="AE104" s="22">
        <f t="shared" si="57"/>
        <v>274</v>
      </c>
      <c r="AF104" s="22">
        <f t="shared" si="58"/>
        <v>130</v>
      </c>
    </row>
    <row r="105">
      <c r="A105" s="18" t="s">
        <v>29</v>
      </c>
      <c r="B105" s="8" t="s">
        <v>94</v>
      </c>
      <c r="C105" s="8">
        <v>5.0</v>
      </c>
      <c r="D105" s="19">
        <v>0.88</v>
      </c>
      <c r="E105" s="45">
        <v>1.41</v>
      </c>
      <c r="F105" s="8">
        <v>0.003</v>
      </c>
      <c r="G105" s="21">
        <v>89.6270414059999</v>
      </c>
      <c r="H105" s="22">
        <f t="shared" si="1"/>
        <v>0.2334</v>
      </c>
      <c r="I105" s="22">
        <f t="shared" si="2"/>
        <v>4.284490146</v>
      </c>
      <c r="J105" s="22">
        <f t="shared" si="3"/>
        <v>0.6241134752</v>
      </c>
      <c r="K105" s="22">
        <f t="shared" si="4"/>
        <v>0.006963450599</v>
      </c>
      <c r="L105" s="22">
        <f t="shared" si="5"/>
        <v>3.272821782</v>
      </c>
      <c r="M105" s="22">
        <f t="shared" si="6"/>
        <v>0</v>
      </c>
      <c r="N105" s="22">
        <f t="shared" si="7"/>
        <v>0.08112498047</v>
      </c>
      <c r="O105" s="22">
        <f t="shared" si="8"/>
        <v>0.7421403395</v>
      </c>
      <c r="P105" s="22">
        <f t="shared" si="9"/>
        <v>1.08112498</v>
      </c>
      <c r="AE105" s="22">
        <f t="shared" si="57"/>
        <v>280</v>
      </c>
      <c r="AF105" s="22">
        <f t="shared" si="58"/>
        <v>155</v>
      </c>
    </row>
    <row r="106">
      <c r="A106" s="18" t="s">
        <v>29</v>
      </c>
      <c r="B106" s="8" t="s">
        <v>94</v>
      </c>
      <c r="C106" s="8">
        <v>6.0</v>
      </c>
      <c r="D106" s="19">
        <v>0.88</v>
      </c>
      <c r="E106" s="45">
        <v>1.26</v>
      </c>
      <c r="F106" s="8">
        <v>0.003</v>
      </c>
      <c r="G106" s="21">
        <v>79.8477109999998</v>
      </c>
      <c r="H106" s="22">
        <f t="shared" si="1"/>
        <v>0.2334</v>
      </c>
      <c r="I106" s="22">
        <f t="shared" si="2"/>
        <v>4.284490146</v>
      </c>
      <c r="J106" s="22">
        <f t="shared" si="3"/>
        <v>0.6984126984</v>
      </c>
      <c r="K106" s="22">
        <f t="shared" si="4"/>
        <v>0.008746809266</v>
      </c>
      <c r="L106" s="22">
        <f t="shared" si="5"/>
        <v>3.673659892</v>
      </c>
      <c r="M106" s="22">
        <f t="shared" si="6"/>
        <v>0</v>
      </c>
      <c r="N106" s="22">
        <f t="shared" si="7"/>
        <v>0</v>
      </c>
      <c r="O106" s="22">
        <f t="shared" si="8"/>
        <v>0.80234646</v>
      </c>
      <c r="P106" s="22">
        <f t="shared" si="9"/>
        <v>1</v>
      </c>
      <c r="AE106" s="22">
        <f t="shared" si="57"/>
        <v>256.6666667</v>
      </c>
      <c r="AF106" s="22">
        <f t="shared" si="58"/>
        <v>132</v>
      </c>
    </row>
    <row r="107">
      <c r="A107" s="18" t="s">
        <v>29</v>
      </c>
      <c r="B107" s="8" t="s">
        <v>94</v>
      </c>
      <c r="C107" s="8">
        <v>7.0</v>
      </c>
      <c r="D107" s="19">
        <v>0.88</v>
      </c>
      <c r="E107" s="45">
        <v>1.49</v>
      </c>
      <c r="F107" s="8">
        <v>0.003</v>
      </c>
      <c r="G107" s="21">
        <v>94.4386765889999</v>
      </c>
      <c r="H107" s="22">
        <f t="shared" si="1"/>
        <v>0.2334</v>
      </c>
      <c r="I107" s="22">
        <f t="shared" si="2"/>
        <v>4.284490146</v>
      </c>
      <c r="J107" s="22">
        <f t="shared" si="3"/>
        <v>0.5906040268</v>
      </c>
      <c r="K107" s="22">
        <f t="shared" si="4"/>
        <v>0.006253836333</v>
      </c>
      <c r="L107" s="22">
        <f t="shared" si="5"/>
        <v>3.106072045</v>
      </c>
      <c r="M107" s="22">
        <f t="shared" si="6"/>
        <v>0</v>
      </c>
      <c r="N107" s="22">
        <f t="shared" si="7"/>
        <v>0.1210401683</v>
      </c>
      <c r="O107" s="22">
        <f t="shared" si="8"/>
        <v>0.7157160668</v>
      </c>
      <c r="P107" s="22">
        <f t="shared" si="9"/>
        <v>1.121040168</v>
      </c>
      <c r="AE107" s="22">
        <f t="shared" si="57"/>
        <v>264.2857143</v>
      </c>
      <c r="AF107" s="22">
        <f t="shared" si="58"/>
        <v>140</v>
      </c>
    </row>
    <row r="108">
      <c r="A108" s="18" t="s">
        <v>29</v>
      </c>
      <c r="B108" s="8" t="s">
        <v>94</v>
      </c>
      <c r="C108" s="8">
        <v>8.0</v>
      </c>
      <c r="D108" s="19">
        <v>0.88</v>
      </c>
      <c r="E108" s="45">
        <v>1.67</v>
      </c>
      <c r="F108" s="8">
        <v>0.004</v>
      </c>
      <c r="G108" s="21">
        <v>105.570270368</v>
      </c>
      <c r="H108" s="22">
        <f t="shared" si="1"/>
        <v>0.3112</v>
      </c>
      <c r="I108" s="22">
        <f t="shared" si="2"/>
        <v>3.213367609</v>
      </c>
      <c r="J108" s="22">
        <f t="shared" si="3"/>
        <v>0.5269461078</v>
      </c>
      <c r="K108" s="22">
        <f t="shared" si="4"/>
        <v>0.004991425199</v>
      </c>
      <c r="L108" s="22">
        <f t="shared" si="5"/>
        <v>2.083920021</v>
      </c>
      <c r="M108" s="22">
        <f t="shared" si="6"/>
        <v>0.25</v>
      </c>
      <c r="N108" s="22">
        <f t="shared" si="7"/>
        <v>0.213382925</v>
      </c>
      <c r="O108" s="22">
        <f t="shared" si="8"/>
        <v>0.5289980227</v>
      </c>
      <c r="P108" s="22">
        <f t="shared" si="9"/>
        <v>0.97070634</v>
      </c>
      <c r="AE108" s="22">
        <f t="shared" si="57"/>
        <v>253.3333333</v>
      </c>
      <c r="AF108" s="22">
        <f t="shared" si="58"/>
        <v>126</v>
      </c>
    </row>
    <row r="109">
      <c r="A109" s="18" t="s">
        <v>29</v>
      </c>
      <c r="B109" s="8" t="s">
        <v>94</v>
      </c>
      <c r="C109" s="8">
        <v>9.0</v>
      </c>
      <c r="D109" s="19">
        <v>0.88</v>
      </c>
      <c r="E109" s="45">
        <v>1.37</v>
      </c>
      <c r="F109" s="8">
        <v>0.003</v>
      </c>
      <c r="G109" s="21">
        <v>86.8501929799999</v>
      </c>
      <c r="H109" s="22">
        <f t="shared" si="1"/>
        <v>0.2334</v>
      </c>
      <c r="I109" s="22">
        <f t="shared" si="2"/>
        <v>4.284490146</v>
      </c>
      <c r="J109" s="22">
        <f t="shared" si="3"/>
        <v>0.6423357664</v>
      </c>
      <c r="K109" s="22">
        <f t="shared" si="4"/>
        <v>0.007395904884</v>
      </c>
      <c r="L109" s="22">
        <f t="shared" si="5"/>
        <v>3.37746323</v>
      </c>
      <c r="M109" s="22">
        <f t="shared" si="6"/>
        <v>0</v>
      </c>
      <c r="N109" s="22">
        <f t="shared" si="7"/>
        <v>0.05808947958</v>
      </c>
      <c r="O109" s="22">
        <f t="shared" si="8"/>
        <v>0.758297361</v>
      </c>
      <c r="P109" s="22">
        <f t="shared" si="9"/>
        <v>1.05808948</v>
      </c>
      <c r="AE109" s="22">
        <f t="shared" si="57"/>
        <v>270</v>
      </c>
      <c r="AF109" s="22">
        <f t="shared" si="58"/>
        <v>128</v>
      </c>
    </row>
    <row r="110">
      <c r="A110" s="18" t="s">
        <v>29</v>
      </c>
      <c r="B110" s="8" t="s">
        <v>94</v>
      </c>
      <c r="C110" s="8">
        <v>10.0</v>
      </c>
      <c r="D110" s="19">
        <v>0.88</v>
      </c>
      <c r="E110" s="45">
        <v>1.63</v>
      </c>
      <c r="F110" s="8">
        <v>0.003</v>
      </c>
      <c r="G110" s="21">
        <v>102.943581395</v>
      </c>
      <c r="H110" s="22">
        <f t="shared" si="1"/>
        <v>0.2334</v>
      </c>
      <c r="I110" s="22">
        <f t="shared" si="2"/>
        <v>4.284490146</v>
      </c>
      <c r="J110" s="22">
        <f t="shared" si="3"/>
        <v>0.5398773006</v>
      </c>
      <c r="K110" s="22">
        <f t="shared" si="4"/>
        <v>0.005244399829</v>
      </c>
      <c r="L110" s="22">
        <f t="shared" si="5"/>
        <v>2.84945724</v>
      </c>
      <c r="M110" s="22">
        <f t="shared" si="6"/>
        <v>0</v>
      </c>
      <c r="N110" s="22">
        <f t="shared" si="7"/>
        <v>0.1915930802</v>
      </c>
      <c r="O110" s="22">
        <f t="shared" si="8"/>
        <v>0.673339308</v>
      </c>
      <c r="P110" s="22">
        <f t="shared" si="9"/>
        <v>1.19159308</v>
      </c>
      <c r="AE110" s="22">
        <f t="shared" si="57"/>
        <v>268.5714286</v>
      </c>
      <c r="AF110" s="22">
        <f t="shared" si="58"/>
        <v>141.6666667</v>
      </c>
    </row>
    <row r="111">
      <c r="A111" s="18" t="s">
        <v>29</v>
      </c>
      <c r="B111" s="8" t="s">
        <v>94</v>
      </c>
      <c r="C111" s="8">
        <v>11.0</v>
      </c>
      <c r="D111" s="19">
        <v>0.88</v>
      </c>
      <c r="E111" s="45">
        <v>1.34</v>
      </c>
      <c r="F111" s="8">
        <v>0.003</v>
      </c>
      <c r="G111" s="21">
        <v>84.687636181</v>
      </c>
      <c r="H111" s="22">
        <f t="shared" si="1"/>
        <v>0.2334</v>
      </c>
      <c r="I111" s="22">
        <f t="shared" si="2"/>
        <v>4.284490146</v>
      </c>
      <c r="J111" s="22">
        <f t="shared" si="3"/>
        <v>0.6567164179</v>
      </c>
      <c r="K111" s="22">
        <f t="shared" si="4"/>
        <v>0.007754572539</v>
      </c>
      <c r="L111" s="22">
        <f t="shared" si="5"/>
        <v>3.463709067</v>
      </c>
      <c r="M111" s="22">
        <f t="shared" si="6"/>
        <v>0</v>
      </c>
      <c r="N111" s="22">
        <f t="shared" si="7"/>
        <v>0.04014986911</v>
      </c>
      <c r="O111" s="22">
        <f t="shared" si="8"/>
        <v>0.7713758218</v>
      </c>
      <c r="P111" s="22">
        <f t="shared" si="9"/>
        <v>1.040149869</v>
      </c>
      <c r="AE111" s="22">
        <f t="shared" si="57"/>
        <v>282</v>
      </c>
      <c r="AF111" s="22">
        <f t="shared" si="58"/>
        <v>131.4285714</v>
      </c>
    </row>
    <row r="112">
      <c r="A112" s="18" t="s">
        <v>29</v>
      </c>
      <c r="B112" s="8" t="s">
        <v>94</v>
      </c>
      <c r="C112" s="8">
        <v>12.0</v>
      </c>
      <c r="D112" s="19">
        <v>0.88</v>
      </c>
      <c r="E112" s="45">
        <v>1.64</v>
      </c>
      <c r="F112" s="8">
        <v>0.003</v>
      </c>
      <c r="G112" s="21">
        <v>103.524553102</v>
      </c>
      <c r="H112" s="22">
        <f t="shared" si="1"/>
        <v>0.2334</v>
      </c>
      <c r="I112" s="22">
        <f t="shared" si="2"/>
        <v>4.284490146</v>
      </c>
      <c r="J112" s="22">
        <f t="shared" si="3"/>
        <v>0.5365853659</v>
      </c>
      <c r="K112" s="22">
        <f t="shared" si="4"/>
        <v>0.005183170077</v>
      </c>
      <c r="L112" s="22">
        <f t="shared" si="5"/>
        <v>2.833466309</v>
      </c>
      <c r="M112" s="22">
        <f t="shared" si="6"/>
        <v>0</v>
      </c>
      <c r="N112" s="22">
        <f t="shared" si="7"/>
        <v>0.1964125634</v>
      </c>
      <c r="O112" s="22">
        <f t="shared" si="8"/>
        <v>0.6706269097</v>
      </c>
      <c r="P112" s="22">
        <f t="shared" si="9"/>
        <v>1.196412563</v>
      </c>
      <c r="AE112" s="22">
        <f t="shared" si="57"/>
        <v>252.8571429</v>
      </c>
      <c r="AF112" s="22">
        <f t="shared" si="58"/>
        <v>150</v>
      </c>
    </row>
    <row r="113">
      <c r="A113" s="18" t="s">
        <v>29</v>
      </c>
      <c r="B113" s="8" t="s">
        <v>94</v>
      </c>
      <c r="C113" s="8">
        <v>13.0</v>
      </c>
      <c r="D113" s="19">
        <v>0.88</v>
      </c>
      <c r="E113" s="45">
        <v>1.33</v>
      </c>
      <c r="F113" s="8">
        <v>0.003</v>
      </c>
      <c r="G113" s="21">
        <v>84.8688519969998</v>
      </c>
      <c r="H113" s="22">
        <f t="shared" si="1"/>
        <v>0.2334</v>
      </c>
      <c r="I113" s="22">
        <f t="shared" si="2"/>
        <v>4.284490146</v>
      </c>
      <c r="J113" s="22">
        <f t="shared" si="3"/>
        <v>0.6616541353</v>
      </c>
      <c r="K113" s="22">
        <f t="shared" si="4"/>
        <v>0.007796195186</v>
      </c>
      <c r="L113" s="22">
        <f t="shared" si="5"/>
        <v>3.456313199</v>
      </c>
      <c r="M113" s="22">
        <f t="shared" si="6"/>
        <v>0</v>
      </c>
      <c r="N113" s="22">
        <f t="shared" si="7"/>
        <v>0.04165315501</v>
      </c>
      <c r="O113" s="22">
        <f t="shared" si="8"/>
        <v>0.7702625929</v>
      </c>
      <c r="P113" s="22">
        <f t="shared" si="9"/>
        <v>1.041653155</v>
      </c>
      <c r="AE113" s="22">
        <f t="shared" si="57"/>
        <v>251.6666667</v>
      </c>
      <c r="AF113" s="22">
        <f t="shared" si="58"/>
        <v>125</v>
      </c>
    </row>
    <row r="114">
      <c r="A114" s="18" t="s">
        <v>29</v>
      </c>
      <c r="B114" s="8" t="s">
        <v>94</v>
      </c>
      <c r="C114" s="8">
        <v>14.0</v>
      </c>
      <c r="D114" s="19">
        <v>0.88</v>
      </c>
      <c r="E114" s="45">
        <v>1.82</v>
      </c>
      <c r="F114" s="8">
        <v>0.004</v>
      </c>
      <c r="G114" s="21">
        <v>115.336226055</v>
      </c>
      <c r="H114" s="22">
        <f t="shared" si="1"/>
        <v>0.3112</v>
      </c>
      <c r="I114" s="22">
        <f t="shared" si="2"/>
        <v>3.213367609</v>
      </c>
      <c r="J114" s="22">
        <f t="shared" si="3"/>
        <v>0.4835164835</v>
      </c>
      <c r="K114" s="22">
        <f t="shared" si="4"/>
        <v>0.004192234305</v>
      </c>
      <c r="L114" s="22">
        <f t="shared" si="5"/>
        <v>1.907466609</v>
      </c>
      <c r="M114" s="22">
        <f t="shared" si="6"/>
        <v>0.25</v>
      </c>
      <c r="N114" s="22">
        <f t="shared" si="7"/>
        <v>0.2943969547</v>
      </c>
      <c r="O114" s="22">
        <f t="shared" si="8"/>
        <v>0.4958889664</v>
      </c>
      <c r="P114" s="22">
        <f t="shared" si="9"/>
        <v>1.035517564</v>
      </c>
      <c r="AE114" s="22">
        <f t="shared" si="57"/>
        <v>275</v>
      </c>
      <c r="AF114" s="22">
        <f t="shared" si="58"/>
        <v>130</v>
      </c>
    </row>
    <row r="115">
      <c r="A115" s="18" t="s">
        <v>29</v>
      </c>
      <c r="B115" s="8" t="s">
        <v>94</v>
      </c>
      <c r="C115" s="8">
        <v>15.0</v>
      </c>
      <c r="D115" s="19">
        <v>0.88</v>
      </c>
      <c r="E115" s="45">
        <v>1.6</v>
      </c>
      <c r="F115" s="8">
        <v>0.003</v>
      </c>
      <c r="G115" s="21">
        <v>101.270844881999</v>
      </c>
      <c r="H115" s="22">
        <f t="shared" si="1"/>
        <v>0.2334</v>
      </c>
      <c r="I115" s="22">
        <f t="shared" si="2"/>
        <v>4.284490146</v>
      </c>
      <c r="J115" s="22">
        <f t="shared" si="3"/>
        <v>0.55</v>
      </c>
      <c r="K115" s="22">
        <f t="shared" si="4"/>
        <v>0.00543098066</v>
      </c>
      <c r="L115" s="22">
        <f t="shared" si="5"/>
        <v>2.896523019</v>
      </c>
      <c r="M115" s="22">
        <f t="shared" si="6"/>
        <v>0</v>
      </c>
      <c r="N115" s="22">
        <f t="shared" si="7"/>
        <v>0.1777168012</v>
      </c>
      <c r="O115" s="22">
        <f t="shared" si="8"/>
        <v>0.6812728316</v>
      </c>
      <c r="P115" s="22">
        <f t="shared" si="9"/>
        <v>1.177716801</v>
      </c>
      <c r="AE115" s="22">
        <f t="shared" si="57"/>
        <v>278.75</v>
      </c>
      <c r="AF115" s="22">
        <f t="shared" si="58"/>
        <v>138</v>
      </c>
    </row>
    <row r="116">
      <c r="A116" s="18" t="s">
        <v>29</v>
      </c>
      <c r="B116" s="8" t="s">
        <v>94</v>
      </c>
      <c r="C116" s="8">
        <v>16.0</v>
      </c>
      <c r="D116" s="19">
        <v>0.88</v>
      </c>
      <c r="E116" s="45">
        <v>1.61</v>
      </c>
      <c r="F116" s="8">
        <v>0.003</v>
      </c>
      <c r="G116" s="21">
        <v>102.062221763999</v>
      </c>
      <c r="H116" s="22">
        <f t="shared" si="1"/>
        <v>0.2334</v>
      </c>
      <c r="I116" s="22">
        <f t="shared" si="2"/>
        <v>4.284490146</v>
      </c>
      <c r="J116" s="22">
        <f t="shared" si="3"/>
        <v>0.5465838509</v>
      </c>
      <c r="K116" s="22">
        <f t="shared" si="4"/>
        <v>0.00535539832</v>
      </c>
      <c r="L116" s="22">
        <f t="shared" si="5"/>
        <v>2.874063765</v>
      </c>
      <c r="M116" s="22">
        <f t="shared" si="6"/>
        <v>0</v>
      </c>
      <c r="N116" s="22">
        <f t="shared" si="7"/>
        <v>0.1842817123</v>
      </c>
      <c r="O116" s="22">
        <f t="shared" si="8"/>
        <v>0.6774962847</v>
      </c>
      <c r="P116" s="22">
        <f t="shared" si="9"/>
        <v>1.184281712</v>
      </c>
      <c r="AE116" s="22">
        <f t="shared" si="57"/>
        <v>272.8571429</v>
      </c>
      <c r="AF116" s="22">
        <f t="shared" si="58"/>
        <v>143.75</v>
      </c>
    </row>
    <row r="117">
      <c r="A117" s="18" t="s">
        <v>29</v>
      </c>
      <c r="B117" s="8" t="s">
        <v>94</v>
      </c>
      <c r="C117" s="8">
        <v>17.0</v>
      </c>
      <c r="D117" s="19">
        <v>0.88</v>
      </c>
      <c r="E117" s="45">
        <v>1.61</v>
      </c>
      <c r="F117" s="8">
        <v>0.003</v>
      </c>
      <c r="G117" s="21">
        <v>101.667471126</v>
      </c>
      <c r="H117" s="22">
        <f t="shared" si="1"/>
        <v>0.2334</v>
      </c>
      <c r="I117" s="22">
        <f t="shared" si="2"/>
        <v>4.284490146</v>
      </c>
      <c r="J117" s="22">
        <f t="shared" si="3"/>
        <v>0.5465838509</v>
      </c>
      <c r="K117" s="22">
        <f t="shared" si="4"/>
        <v>0.005376192059</v>
      </c>
      <c r="L117" s="22">
        <f t="shared" si="5"/>
        <v>2.885223072</v>
      </c>
      <c r="M117" s="22">
        <f t="shared" si="6"/>
        <v>0</v>
      </c>
      <c r="N117" s="22">
        <f t="shared" si="7"/>
        <v>0.1810070363</v>
      </c>
      <c r="O117" s="22">
        <f t="shared" si="8"/>
        <v>0.6793748347</v>
      </c>
      <c r="P117" s="22">
        <f t="shared" si="9"/>
        <v>1.181007036</v>
      </c>
      <c r="AE117" s="22">
        <f t="shared" si="57"/>
        <v>278.3333333</v>
      </c>
      <c r="AF117" s="22">
        <f t="shared" si="58"/>
        <v>128.3333333</v>
      </c>
    </row>
    <row r="118">
      <c r="A118" s="18" t="s">
        <v>29</v>
      </c>
      <c r="B118" s="8" t="s">
        <v>94</v>
      </c>
      <c r="C118" s="8">
        <v>18.0</v>
      </c>
      <c r="D118" s="19">
        <v>0.88</v>
      </c>
      <c r="E118" s="45">
        <v>1.9</v>
      </c>
      <c r="F118" s="8">
        <v>0.004</v>
      </c>
      <c r="G118" s="21">
        <v>119.842411954</v>
      </c>
      <c r="H118" s="22">
        <f t="shared" si="1"/>
        <v>0.3112</v>
      </c>
      <c r="I118" s="22">
        <f t="shared" si="2"/>
        <v>3.213367609</v>
      </c>
      <c r="J118" s="22">
        <f t="shared" si="3"/>
        <v>0.4631578947</v>
      </c>
      <c r="K118" s="22">
        <f t="shared" si="4"/>
        <v>0.003864724409</v>
      </c>
      <c r="L118" s="22">
        <f t="shared" si="5"/>
        <v>1.835744094</v>
      </c>
      <c r="M118" s="22">
        <f t="shared" si="6"/>
        <v>0.25</v>
      </c>
      <c r="N118" s="22">
        <f t="shared" si="7"/>
        <v>0.331778271</v>
      </c>
      <c r="O118" s="22">
        <f t="shared" si="8"/>
        <v>0.4819699961</v>
      </c>
      <c r="P118" s="22">
        <f t="shared" si="9"/>
        <v>1.065422617</v>
      </c>
      <c r="AE118" s="22">
        <f t="shared" si="57"/>
        <v>276</v>
      </c>
      <c r="AF118" s="22">
        <f t="shared" si="58"/>
        <v>140</v>
      </c>
    </row>
    <row r="119">
      <c r="A119" s="18" t="s">
        <v>29</v>
      </c>
      <c r="B119" s="8" t="s">
        <v>94</v>
      </c>
      <c r="C119" s="8">
        <v>19.0</v>
      </c>
      <c r="D119" s="19">
        <v>0.88</v>
      </c>
      <c r="E119" s="45">
        <v>1.7</v>
      </c>
      <c r="F119" s="8">
        <v>0.004</v>
      </c>
      <c r="G119" s="21">
        <v>108.414908278999</v>
      </c>
      <c r="H119" s="22">
        <f t="shared" si="1"/>
        <v>0.3112</v>
      </c>
      <c r="I119" s="22">
        <f t="shared" si="2"/>
        <v>3.213367609</v>
      </c>
      <c r="J119" s="22">
        <f t="shared" si="3"/>
        <v>0.5176470588</v>
      </c>
      <c r="K119" s="22">
        <f t="shared" si="4"/>
        <v>0.004774685207</v>
      </c>
      <c r="L119" s="22">
        <f t="shared" si="5"/>
        <v>2.029241213</v>
      </c>
      <c r="M119" s="22">
        <f t="shared" si="6"/>
        <v>0.25</v>
      </c>
      <c r="N119" s="22">
        <f t="shared" si="7"/>
        <v>0.2369807773</v>
      </c>
      <c r="O119" s="22">
        <f t="shared" si="8"/>
        <v>0.5189063402</v>
      </c>
      <c r="P119" s="22">
        <f t="shared" si="9"/>
        <v>0.9895846219</v>
      </c>
      <c r="AE119" s="22">
        <f t="shared" si="57"/>
        <v>244</v>
      </c>
      <c r="AF119" s="22">
        <f t="shared" si="58"/>
        <v>126</v>
      </c>
    </row>
    <row r="120">
      <c r="A120" s="18" t="s">
        <v>29</v>
      </c>
      <c r="B120" s="8" t="s">
        <v>94</v>
      </c>
      <c r="C120" s="8">
        <v>20.0</v>
      </c>
      <c r="D120" s="19">
        <v>0.88</v>
      </c>
      <c r="E120" s="45">
        <v>1.41</v>
      </c>
      <c r="F120" s="8">
        <v>0.003</v>
      </c>
      <c r="G120" s="21">
        <v>89.3065043740002</v>
      </c>
      <c r="H120" s="22">
        <f t="shared" si="1"/>
        <v>0.2334</v>
      </c>
      <c r="I120" s="22">
        <f t="shared" si="2"/>
        <v>4.284490146</v>
      </c>
      <c r="J120" s="22">
        <f t="shared" si="3"/>
        <v>0.6241134752</v>
      </c>
      <c r="K120" s="22">
        <f t="shared" si="4"/>
        <v>0.00698844367</v>
      </c>
      <c r="L120" s="22">
        <f t="shared" si="5"/>
        <v>3.284568525</v>
      </c>
      <c r="M120" s="22">
        <f t="shared" si="6"/>
        <v>0</v>
      </c>
      <c r="N120" s="22">
        <f t="shared" si="7"/>
        <v>0.07846594766</v>
      </c>
      <c r="O120" s="22">
        <f t="shared" si="8"/>
        <v>0.7439701381</v>
      </c>
      <c r="P120" s="22">
        <f t="shared" si="9"/>
        <v>1.078465948</v>
      </c>
      <c r="AE120" s="22">
        <f t="shared" si="57"/>
        <v>253.3333333</v>
      </c>
      <c r="AF120" s="22">
        <f t="shared" si="58"/>
        <v>134</v>
      </c>
    </row>
    <row r="121">
      <c r="A121" s="18" t="s">
        <v>29</v>
      </c>
      <c r="B121" s="8" t="s">
        <v>94</v>
      </c>
      <c r="C121" s="8">
        <v>21.0</v>
      </c>
      <c r="D121" s="19">
        <v>0.88</v>
      </c>
      <c r="E121" s="45">
        <v>1.51</v>
      </c>
      <c r="F121" s="8">
        <v>0.003</v>
      </c>
      <c r="G121" s="21">
        <v>95.5938570990001</v>
      </c>
      <c r="H121" s="22">
        <f t="shared" si="1"/>
        <v>0.2334</v>
      </c>
      <c r="I121" s="22">
        <f t="shared" si="2"/>
        <v>4.284490146</v>
      </c>
      <c r="J121" s="22">
        <f t="shared" si="3"/>
        <v>0.582781457</v>
      </c>
      <c r="K121" s="22">
        <f t="shared" si="4"/>
        <v>0.006096432079</v>
      </c>
      <c r="L121" s="22">
        <f t="shared" si="5"/>
        <v>3.06853748</v>
      </c>
      <c r="M121" s="22">
        <f t="shared" si="6"/>
        <v>0</v>
      </c>
      <c r="N121" s="22">
        <f t="shared" si="7"/>
        <v>0.1306230326</v>
      </c>
      <c r="O121" s="22">
        <f t="shared" si="8"/>
        <v>0.7096498452</v>
      </c>
      <c r="P121" s="22">
        <f t="shared" si="9"/>
        <v>1.130623033</v>
      </c>
      <c r="AE121" s="22">
        <f t="shared" si="57"/>
        <v>273.3333333</v>
      </c>
      <c r="AF121" s="22">
        <f t="shared" si="58"/>
        <v>140</v>
      </c>
    </row>
    <row r="122">
      <c r="A122" s="18" t="s">
        <v>29</v>
      </c>
      <c r="B122" s="8" t="s">
        <v>94</v>
      </c>
      <c r="C122" s="8">
        <v>22.0</v>
      </c>
      <c r="D122" s="19">
        <v>0.88</v>
      </c>
      <c r="E122" s="45">
        <v>2.08</v>
      </c>
      <c r="F122" s="8">
        <v>0.004</v>
      </c>
      <c r="G122" s="21">
        <v>131.179889116</v>
      </c>
      <c r="H122" s="22">
        <f t="shared" si="1"/>
        <v>0.3112</v>
      </c>
      <c r="I122" s="22">
        <f t="shared" si="2"/>
        <v>3.213367609</v>
      </c>
      <c r="J122" s="22">
        <f t="shared" si="3"/>
        <v>0.4230769231</v>
      </c>
      <c r="K122" s="22">
        <f t="shared" si="4"/>
        <v>0.003225166037</v>
      </c>
      <c r="L122" s="22">
        <f t="shared" si="5"/>
        <v>1.677086339</v>
      </c>
      <c r="M122" s="22">
        <f t="shared" si="6"/>
        <v>0.25</v>
      </c>
      <c r="N122" s="22">
        <f t="shared" si="7"/>
        <v>0.4258289448</v>
      </c>
      <c r="O122" s="22">
        <f t="shared" si="8"/>
        <v>0.4501782422</v>
      </c>
      <c r="P122" s="22">
        <f t="shared" si="9"/>
        <v>1.140663156</v>
      </c>
      <c r="AE122" s="22">
        <f t="shared" si="57"/>
        <v>292</v>
      </c>
      <c r="AF122" s="22">
        <f t="shared" si="58"/>
        <v>152.5</v>
      </c>
    </row>
    <row r="123">
      <c r="A123" s="18" t="s">
        <v>29</v>
      </c>
      <c r="B123" s="8" t="s">
        <v>94</v>
      </c>
      <c r="C123" s="8">
        <v>23.0</v>
      </c>
      <c r="D123" s="19">
        <v>0.88</v>
      </c>
      <c r="E123" s="45">
        <v>1.59</v>
      </c>
      <c r="F123" s="8">
        <v>0.003</v>
      </c>
      <c r="G123" s="21">
        <v>100.842679854999</v>
      </c>
      <c r="H123" s="22">
        <f t="shared" si="1"/>
        <v>0.2334</v>
      </c>
      <c r="I123" s="22">
        <f t="shared" si="2"/>
        <v>4.284490146</v>
      </c>
      <c r="J123" s="22">
        <f t="shared" si="3"/>
        <v>0.5534591195</v>
      </c>
      <c r="K123" s="22">
        <f t="shared" si="4"/>
        <v>0.005488342042</v>
      </c>
      <c r="L123" s="22">
        <f t="shared" si="5"/>
        <v>2.908821282</v>
      </c>
      <c r="M123" s="22">
        <f t="shared" si="6"/>
        <v>0</v>
      </c>
      <c r="N123" s="22">
        <f t="shared" si="7"/>
        <v>0.1741649344</v>
      </c>
      <c r="O123" s="22">
        <f t="shared" si="8"/>
        <v>0.6833336924</v>
      </c>
      <c r="P123" s="22">
        <f t="shared" si="9"/>
        <v>1.174164934</v>
      </c>
      <c r="AE123" s="22">
        <f t="shared" si="57"/>
        <v>270</v>
      </c>
      <c r="AF123" s="22">
        <f t="shared" si="58"/>
        <v>140</v>
      </c>
    </row>
    <row r="124">
      <c r="A124" s="18" t="s">
        <v>29</v>
      </c>
      <c r="B124" s="8" t="s">
        <v>94</v>
      </c>
      <c r="C124" s="8">
        <v>24.0</v>
      </c>
      <c r="D124" s="19">
        <v>0.88</v>
      </c>
      <c r="E124" s="45">
        <v>1.62</v>
      </c>
      <c r="F124" s="8">
        <v>0.003</v>
      </c>
      <c r="G124" s="21">
        <v>102.719990615999</v>
      </c>
      <c r="H124" s="22">
        <f t="shared" si="1"/>
        <v>0.2334</v>
      </c>
      <c r="I124" s="22">
        <f t="shared" si="2"/>
        <v>4.284490146</v>
      </c>
      <c r="J124" s="22">
        <f t="shared" si="3"/>
        <v>0.5432098765</v>
      </c>
      <c r="K124" s="22">
        <f t="shared" si="4"/>
        <v>0.005288258627</v>
      </c>
      <c r="L124" s="22">
        <f t="shared" si="5"/>
        <v>2.855659659</v>
      </c>
      <c r="M124" s="22">
        <f t="shared" si="6"/>
        <v>0</v>
      </c>
      <c r="N124" s="22">
        <f t="shared" si="7"/>
        <v>0.1897382704</v>
      </c>
      <c r="O124" s="22">
        <f t="shared" si="8"/>
        <v>0.6743890484</v>
      </c>
      <c r="P124" s="22">
        <f t="shared" si="9"/>
        <v>1.18973827</v>
      </c>
      <c r="AE124" s="22">
        <f t="shared" si="57"/>
        <v>270</v>
      </c>
      <c r="AF124" s="22">
        <f t="shared" si="58"/>
        <v>156.6666667</v>
      </c>
    </row>
    <row r="125">
      <c r="A125" s="18" t="s">
        <v>29</v>
      </c>
      <c r="B125" s="8" t="s">
        <v>94</v>
      </c>
      <c r="C125" s="8">
        <v>25.0</v>
      </c>
      <c r="D125" s="19">
        <v>0.88</v>
      </c>
      <c r="E125" s="45">
        <v>1.46</v>
      </c>
      <c r="F125" s="8">
        <v>0.003</v>
      </c>
      <c r="G125" s="21">
        <v>92.535056569</v>
      </c>
      <c r="H125" s="22">
        <f t="shared" si="1"/>
        <v>0.2334</v>
      </c>
      <c r="I125" s="22">
        <f t="shared" si="2"/>
        <v>4.284490146</v>
      </c>
      <c r="J125" s="22">
        <f t="shared" si="3"/>
        <v>0.602739726</v>
      </c>
      <c r="K125" s="22">
        <f t="shared" si="4"/>
        <v>0.006513636544</v>
      </c>
      <c r="L125" s="22">
        <f t="shared" si="5"/>
        <v>3.169969785</v>
      </c>
      <c r="M125" s="22">
        <f t="shared" si="6"/>
        <v>0</v>
      </c>
      <c r="N125" s="22">
        <f t="shared" si="7"/>
        <v>0.1052485823</v>
      </c>
      <c r="O125" s="22">
        <f t="shared" si="8"/>
        <v>0.7259420848</v>
      </c>
      <c r="P125" s="22">
        <f t="shared" si="9"/>
        <v>1.105248582</v>
      </c>
    </row>
    <row r="126">
      <c r="A126" s="18" t="s">
        <v>29</v>
      </c>
      <c r="B126" s="8" t="s">
        <v>94</v>
      </c>
      <c r="C126" s="8">
        <v>26.0</v>
      </c>
      <c r="D126" s="19">
        <v>0.88</v>
      </c>
      <c r="E126" s="45">
        <v>1.66</v>
      </c>
      <c r="F126" s="8">
        <v>0.004</v>
      </c>
      <c r="G126" s="21">
        <v>104.766017224999</v>
      </c>
      <c r="H126" s="22">
        <f t="shared" si="1"/>
        <v>0.3112</v>
      </c>
      <c r="I126" s="22">
        <f t="shared" si="2"/>
        <v>3.213367609</v>
      </c>
      <c r="J126" s="22">
        <f t="shared" si="3"/>
        <v>0.5301204819</v>
      </c>
      <c r="K126" s="22">
        <f t="shared" si="4"/>
        <v>0.00506004233</v>
      </c>
      <c r="L126" s="22">
        <f t="shared" si="5"/>
        <v>2.099917567</v>
      </c>
      <c r="M126" s="22">
        <f t="shared" si="6"/>
        <v>0.25</v>
      </c>
      <c r="N126" s="22">
        <f t="shared" si="7"/>
        <v>0.2067111982</v>
      </c>
      <c r="O126" s="22">
        <f t="shared" si="8"/>
        <v>0.5319227741</v>
      </c>
      <c r="P126" s="22">
        <f t="shared" si="9"/>
        <v>0.9653689586</v>
      </c>
    </row>
    <row r="127">
      <c r="A127" s="18" t="s">
        <v>29</v>
      </c>
      <c r="B127" s="8" t="s">
        <v>94</v>
      </c>
      <c r="C127" s="8">
        <v>27.0</v>
      </c>
      <c r="D127" s="19">
        <v>0.88</v>
      </c>
      <c r="E127" s="45">
        <v>1.47</v>
      </c>
      <c r="F127" s="8">
        <v>0.003</v>
      </c>
      <c r="G127" s="21">
        <v>93.308744203</v>
      </c>
      <c r="H127" s="22">
        <f t="shared" si="1"/>
        <v>0.2334</v>
      </c>
      <c r="I127" s="22">
        <f t="shared" si="2"/>
        <v>4.284490146</v>
      </c>
      <c r="J127" s="22">
        <f t="shared" si="3"/>
        <v>0.5986394558</v>
      </c>
      <c r="K127" s="22">
        <f t="shared" si="4"/>
        <v>0.006415684413</v>
      </c>
      <c r="L127" s="22">
        <f t="shared" si="5"/>
        <v>3.143685362</v>
      </c>
      <c r="M127" s="22">
        <f t="shared" si="6"/>
        <v>0</v>
      </c>
      <c r="N127" s="22">
        <f t="shared" si="7"/>
        <v>0.1116667512</v>
      </c>
      <c r="O127" s="22">
        <f t="shared" si="8"/>
        <v>0.7217508837</v>
      </c>
      <c r="P127" s="22">
        <f t="shared" si="9"/>
        <v>1.111666751</v>
      </c>
      <c r="AE127" s="49" t="s">
        <v>95</v>
      </c>
    </row>
    <row r="128">
      <c r="A128" s="18" t="s">
        <v>29</v>
      </c>
      <c r="B128" s="8" t="s">
        <v>94</v>
      </c>
      <c r="C128" s="8">
        <v>28.0</v>
      </c>
      <c r="D128" s="19">
        <v>0.88</v>
      </c>
      <c r="E128" s="45">
        <v>1.56</v>
      </c>
      <c r="F128" s="8">
        <v>0.003</v>
      </c>
      <c r="G128" s="21">
        <v>98.8250100979999</v>
      </c>
      <c r="H128" s="22">
        <f t="shared" si="1"/>
        <v>0.2334</v>
      </c>
      <c r="I128" s="22">
        <f t="shared" si="2"/>
        <v>4.284490146</v>
      </c>
      <c r="J128" s="22">
        <f t="shared" si="3"/>
        <v>0.5641025641</v>
      </c>
      <c r="K128" s="22">
        <f t="shared" si="4"/>
        <v>0.005708095183</v>
      </c>
      <c r="L128" s="22">
        <f t="shared" si="5"/>
        <v>2.968209495</v>
      </c>
      <c r="M128" s="22">
        <f t="shared" si="6"/>
        <v>0</v>
      </c>
      <c r="N128" s="22">
        <f t="shared" si="7"/>
        <v>0.1574272424</v>
      </c>
      <c r="O128" s="22">
        <f t="shared" si="8"/>
        <v>0.6932154615</v>
      </c>
      <c r="P128" s="22">
        <f t="shared" si="9"/>
        <v>1.157427242</v>
      </c>
      <c r="AE128" s="8" t="s">
        <v>73</v>
      </c>
      <c r="AF128" s="8" t="s">
        <v>74</v>
      </c>
      <c r="AG128" s="17" t="s">
        <v>75</v>
      </c>
      <c r="AH128" s="17" t="s">
        <v>76</v>
      </c>
      <c r="AI128" s="17" t="s">
        <v>77</v>
      </c>
      <c r="AJ128" s="17" t="s">
        <v>78</v>
      </c>
      <c r="AK128" s="17" t="s">
        <v>79</v>
      </c>
    </row>
    <row r="129">
      <c r="A129" s="18" t="s">
        <v>29</v>
      </c>
      <c r="B129" s="8" t="s">
        <v>94</v>
      </c>
      <c r="C129" s="8">
        <v>29.0</v>
      </c>
      <c r="D129" s="19">
        <v>0.88</v>
      </c>
      <c r="E129" s="45">
        <v>1.53</v>
      </c>
      <c r="F129" s="8">
        <v>0.003</v>
      </c>
      <c r="G129" s="21">
        <v>97.3508694919996</v>
      </c>
      <c r="H129" s="22">
        <f t="shared" si="1"/>
        <v>0.2334</v>
      </c>
      <c r="I129" s="22">
        <f t="shared" si="2"/>
        <v>4.284490146</v>
      </c>
      <c r="J129" s="22">
        <f t="shared" si="3"/>
        <v>0.5751633987</v>
      </c>
      <c r="K129" s="22">
        <f t="shared" si="4"/>
        <v>0.005908148553</v>
      </c>
      <c r="L129" s="22">
        <f t="shared" si="5"/>
        <v>3.013155762</v>
      </c>
      <c r="M129" s="22">
        <f t="shared" si="6"/>
        <v>0</v>
      </c>
      <c r="N129" s="22">
        <f t="shared" si="7"/>
        <v>0.1451984269</v>
      </c>
      <c r="O129" s="22">
        <f t="shared" si="8"/>
        <v>0.7006178503</v>
      </c>
      <c r="P129" s="22">
        <f t="shared" si="9"/>
        <v>1.145198427</v>
      </c>
      <c r="AE129" s="22">
        <f t="shared" ref="AE129:AE161" si="61">E398/F398</f>
        <v>130</v>
      </c>
      <c r="AF129" s="22">
        <f t="shared" ref="AF129:AF161" si="62">E497/F497</f>
        <v>155</v>
      </c>
      <c r="AG129" s="22">
        <f t="shared" ref="AG129:AH129" si="59">100*(AN13-AN10)/AN10</f>
        <v>-8.333333333</v>
      </c>
      <c r="AH129" s="22">
        <f t="shared" si="59"/>
        <v>17.85714286</v>
      </c>
      <c r="AI129" s="22">
        <f>100*(R11-Q11)/Q11</f>
        <v>0</v>
      </c>
      <c r="AJ129" s="22">
        <f t="shared" ref="AJ129:AK129" si="60">(2*(S11*U11))/(S11+U11)</f>
        <v>0.01192307692</v>
      </c>
      <c r="AK129" s="22">
        <f t="shared" si="60"/>
        <v>0.01012638538</v>
      </c>
    </row>
    <row r="130">
      <c r="A130" s="18" t="s">
        <v>29</v>
      </c>
      <c r="B130" s="8" t="s">
        <v>94</v>
      </c>
      <c r="C130" s="8">
        <v>30.0</v>
      </c>
      <c r="D130" s="19">
        <v>0.88</v>
      </c>
      <c r="E130" s="45">
        <v>1.73</v>
      </c>
      <c r="F130" s="8">
        <v>0.004</v>
      </c>
      <c r="G130" s="21">
        <v>109.345992310999</v>
      </c>
      <c r="H130" s="22">
        <f t="shared" si="1"/>
        <v>0.3112</v>
      </c>
      <c r="I130" s="22">
        <f t="shared" si="2"/>
        <v>3.213367609</v>
      </c>
      <c r="J130" s="22">
        <f t="shared" si="3"/>
        <v>0.5086705202</v>
      </c>
      <c r="K130" s="22">
        <f t="shared" si="4"/>
        <v>0.004651935654</v>
      </c>
      <c r="L130" s="22">
        <f t="shared" si="5"/>
        <v>2.01196217</v>
      </c>
      <c r="M130" s="22">
        <f t="shared" si="6"/>
        <v>0.25</v>
      </c>
      <c r="N130" s="22">
        <f t="shared" si="7"/>
        <v>0.2447046368</v>
      </c>
      <c r="O130" s="22">
        <f t="shared" si="8"/>
        <v>0.5156863316</v>
      </c>
      <c r="P130" s="22">
        <f t="shared" si="9"/>
        <v>0.9957637095</v>
      </c>
      <c r="AE130" s="22">
        <f t="shared" si="61"/>
        <v>131.4285714</v>
      </c>
      <c r="AF130" s="22">
        <f t="shared" si="62"/>
        <v>128</v>
      </c>
    </row>
    <row r="131">
      <c r="A131" s="18" t="s">
        <v>29</v>
      </c>
      <c r="B131" s="8" t="s">
        <v>94</v>
      </c>
      <c r="C131" s="8">
        <v>31.0</v>
      </c>
      <c r="D131" s="19">
        <v>0.88</v>
      </c>
      <c r="E131" s="45">
        <v>1.75</v>
      </c>
      <c r="F131" s="8">
        <v>0.004</v>
      </c>
      <c r="G131" s="21">
        <v>110.790879907999</v>
      </c>
      <c r="H131" s="22">
        <f t="shared" si="1"/>
        <v>0.3112</v>
      </c>
      <c r="I131" s="22">
        <f t="shared" si="2"/>
        <v>3.213367609</v>
      </c>
      <c r="J131" s="22">
        <f t="shared" si="3"/>
        <v>0.5028571429</v>
      </c>
      <c r="K131" s="22">
        <f t="shared" si="4"/>
        <v>0.004538795461</v>
      </c>
      <c r="L131" s="22">
        <f t="shared" si="5"/>
        <v>1.985723014</v>
      </c>
      <c r="M131" s="22">
        <f t="shared" si="6"/>
        <v>0.25</v>
      </c>
      <c r="N131" s="22">
        <f t="shared" si="7"/>
        <v>0.2566907824</v>
      </c>
      <c r="O131" s="22">
        <f t="shared" si="8"/>
        <v>0.5107677855</v>
      </c>
      <c r="P131" s="22">
        <f t="shared" si="9"/>
        <v>1.005352626</v>
      </c>
      <c r="AE131" s="22">
        <f t="shared" si="61"/>
        <v>146</v>
      </c>
      <c r="AF131" s="22">
        <f t="shared" si="62"/>
        <v>145</v>
      </c>
    </row>
    <row r="132">
      <c r="A132" s="18" t="s">
        <v>29</v>
      </c>
      <c r="B132" s="8" t="s">
        <v>94</v>
      </c>
      <c r="C132" s="8">
        <v>32.0</v>
      </c>
      <c r="D132" s="19">
        <v>0.88</v>
      </c>
      <c r="E132" s="45">
        <v>1.73</v>
      </c>
      <c r="F132" s="8">
        <v>0.004</v>
      </c>
      <c r="G132" s="21">
        <v>109.623348046</v>
      </c>
      <c r="H132" s="22">
        <f t="shared" si="1"/>
        <v>0.3112</v>
      </c>
      <c r="I132" s="22">
        <f t="shared" si="2"/>
        <v>3.213367609</v>
      </c>
      <c r="J132" s="22">
        <f t="shared" si="3"/>
        <v>0.5086705202</v>
      </c>
      <c r="K132" s="22">
        <f t="shared" si="4"/>
        <v>0.004640165889</v>
      </c>
      <c r="L132" s="22">
        <f t="shared" si="5"/>
        <v>2.006871747</v>
      </c>
      <c r="M132" s="22">
        <f t="shared" si="6"/>
        <v>0.25</v>
      </c>
      <c r="N132" s="22">
        <f t="shared" si="7"/>
        <v>0.2470054568</v>
      </c>
      <c r="O132" s="22">
        <f t="shared" si="8"/>
        <v>0.514734851</v>
      </c>
      <c r="P132" s="22">
        <f t="shared" si="9"/>
        <v>0.9976043654</v>
      </c>
      <c r="AE132" s="22">
        <f t="shared" si="61"/>
        <v>141.6666667</v>
      </c>
      <c r="AF132" s="22">
        <f t="shared" si="62"/>
        <v>155</v>
      </c>
    </row>
    <row r="133">
      <c r="A133" s="18" t="s">
        <v>29</v>
      </c>
      <c r="B133" s="8" t="s">
        <v>94</v>
      </c>
      <c r="C133" s="8">
        <v>33.0</v>
      </c>
      <c r="D133" s="19">
        <v>0.88</v>
      </c>
      <c r="E133" s="45">
        <v>1.36</v>
      </c>
      <c r="F133" s="8">
        <v>0.003</v>
      </c>
      <c r="G133" s="21">
        <v>85.789172795</v>
      </c>
      <c r="H133" s="22">
        <f t="shared" si="1"/>
        <v>0.2334</v>
      </c>
      <c r="I133" s="22">
        <f t="shared" si="2"/>
        <v>4.284490146</v>
      </c>
      <c r="J133" s="22">
        <f t="shared" si="3"/>
        <v>0.6470588235</v>
      </c>
      <c r="K133" s="22">
        <f t="shared" si="4"/>
        <v>0.007542429918</v>
      </c>
      <c r="L133" s="22">
        <f t="shared" si="5"/>
        <v>3.419234896</v>
      </c>
      <c r="M133" s="22">
        <f t="shared" si="6"/>
        <v>0</v>
      </c>
      <c r="N133" s="22">
        <f t="shared" si="7"/>
        <v>0.04928772749</v>
      </c>
      <c r="O133" s="22">
        <f t="shared" si="8"/>
        <v>0.7646581953</v>
      </c>
      <c r="P133" s="22">
        <f t="shared" si="9"/>
        <v>1.049287727</v>
      </c>
      <c r="AE133" s="22">
        <f t="shared" si="61"/>
        <v>130</v>
      </c>
      <c r="AF133" s="22">
        <f t="shared" si="62"/>
        <v>126</v>
      </c>
    </row>
    <row r="134">
      <c r="A134" s="18" t="s">
        <v>31</v>
      </c>
      <c r="B134" s="8" t="s">
        <v>30</v>
      </c>
      <c r="C134" s="8">
        <v>1.0</v>
      </c>
      <c r="D134" s="19">
        <v>0.88</v>
      </c>
      <c r="E134" s="20">
        <v>0.85</v>
      </c>
      <c r="F134" s="8">
        <v>0.006</v>
      </c>
      <c r="G134" s="21">
        <v>182.523565744</v>
      </c>
      <c r="H134" s="22">
        <f t="shared" si="1"/>
        <v>0.4668</v>
      </c>
      <c r="I134" s="22">
        <f t="shared" si="2"/>
        <v>2.142245073</v>
      </c>
      <c r="J134" s="22">
        <f t="shared" si="3"/>
        <v>1.035294118</v>
      </c>
      <c r="K134" s="22">
        <f t="shared" si="4"/>
        <v>0.005672112055</v>
      </c>
      <c r="L134" s="22">
        <f t="shared" si="5"/>
        <v>0.8035492078</v>
      </c>
      <c r="M134" s="22">
        <f t="shared" ref="M134:M265" si="63">(H134-MIN($H$134:$H$265))/(MAX($H$134:$H$265)-MIN($H$134:$H$265))</f>
        <v>0.4444444444</v>
      </c>
      <c r="N134" s="22">
        <f t="shared" ref="N134:N265" si="64">(G134-MIN($G$134:$G$265))/(MAX($G$134:$G$265)-MIN($G$134:$G$265))</f>
        <v>0.4489488775</v>
      </c>
      <c r="O134" s="22">
        <f t="shared" ref="O134:O265" si="65">0.88*(1/(1+M134))*(1/(1+N134))*(1-0.1337662764)</f>
        <v>0.3642200536</v>
      </c>
      <c r="P134" s="22">
        <f t="shared" si="9"/>
        <v>1.003118454</v>
      </c>
      <c r="AE134" s="22">
        <f t="shared" si="61"/>
        <v>146.6666667</v>
      </c>
      <c r="AF134" s="22">
        <f t="shared" si="62"/>
        <v>132.5</v>
      </c>
    </row>
    <row r="135">
      <c r="A135" s="18" t="s">
        <v>31</v>
      </c>
      <c r="B135" s="8" t="s">
        <v>30</v>
      </c>
      <c r="C135" s="8">
        <v>2.0</v>
      </c>
      <c r="D135" s="19">
        <v>0.88</v>
      </c>
      <c r="E135" s="27">
        <v>0.8</v>
      </c>
      <c r="F135" s="8">
        <v>0.006</v>
      </c>
      <c r="G135" s="21">
        <v>171.450037863</v>
      </c>
      <c r="H135" s="22">
        <f t="shared" si="1"/>
        <v>0.4668</v>
      </c>
      <c r="I135" s="22">
        <f t="shared" si="2"/>
        <v>2.142245073</v>
      </c>
      <c r="J135" s="22">
        <f t="shared" si="3"/>
        <v>1.1</v>
      </c>
      <c r="K135" s="22">
        <f t="shared" si="4"/>
        <v>0.006415863267</v>
      </c>
      <c r="L135" s="22">
        <f t="shared" si="5"/>
        <v>0.8554484356</v>
      </c>
      <c r="M135" s="22">
        <f t="shared" si="63"/>
        <v>0.4444444444</v>
      </c>
      <c r="N135" s="22">
        <f t="shared" si="64"/>
        <v>0.4036519071</v>
      </c>
      <c r="O135" s="22">
        <f t="shared" si="65"/>
        <v>0.3759737262</v>
      </c>
      <c r="P135" s="22">
        <f t="shared" si="9"/>
        <v>0.9717590126</v>
      </c>
      <c r="AE135" s="22">
        <f t="shared" si="61"/>
        <v>3.75</v>
      </c>
      <c r="AF135" s="22">
        <f t="shared" si="62"/>
        <v>128</v>
      </c>
    </row>
    <row r="136">
      <c r="A136" s="18" t="s">
        <v>31</v>
      </c>
      <c r="B136" s="8" t="s">
        <v>30</v>
      </c>
      <c r="C136" s="8">
        <v>3.0</v>
      </c>
      <c r="D136" s="19">
        <v>0.88</v>
      </c>
      <c r="E136" s="20">
        <v>0.98</v>
      </c>
      <c r="F136" s="8">
        <v>0.007</v>
      </c>
      <c r="G136" s="21">
        <v>208.120859467999</v>
      </c>
      <c r="H136" s="22">
        <f t="shared" si="1"/>
        <v>0.5446</v>
      </c>
      <c r="I136" s="22">
        <f t="shared" si="2"/>
        <v>1.836210062</v>
      </c>
      <c r="J136" s="22">
        <f t="shared" si="3"/>
        <v>0.8979591837</v>
      </c>
      <c r="K136" s="22">
        <f t="shared" si="4"/>
        <v>0.004314604437</v>
      </c>
      <c r="L136" s="22">
        <f t="shared" si="5"/>
        <v>0.6040446212</v>
      </c>
      <c r="M136" s="22">
        <f t="shared" si="63"/>
        <v>0.5555555556</v>
      </c>
      <c r="N136" s="22">
        <f t="shared" si="64"/>
        <v>0.5536562361</v>
      </c>
      <c r="O136" s="22">
        <f t="shared" si="65"/>
        <v>0.315411338</v>
      </c>
      <c r="P136" s="22">
        <f t="shared" si="9"/>
        <v>0.9987790089</v>
      </c>
      <c r="AE136" s="22">
        <f t="shared" si="61"/>
        <v>142</v>
      </c>
      <c r="AF136" s="22">
        <f t="shared" si="62"/>
        <v>130</v>
      </c>
    </row>
    <row r="137">
      <c r="A137" s="18" t="s">
        <v>31</v>
      </c>
      <c r="B137" s="8" t="s">
        <v>30</v>
      </c>
      <c r="C137" s="8">
        <v>4.0</v>
      </c>
      <c r="D137" s="19">
        <v>0.88</v>
      </c>
      <c r="E137" s="27">
        <v>0.6</v>
      </c>
      <c r="F137" s="8">
        <v>0.004</v>
      </c>
      <c r="G137" s="21">
        <v>127.166692140999</v>
      </c>
      <c r="H137" s="22">
        <f t="shared" si="1"/>
        <v>0.3112</v>
      </c>
      <c r="I137" s="22">
        <f t="shared" si="2"/>
        <v>3.213367609</v>
      </c>
      <c r="J137" s="22">
        <f t="shared" si="3"/>
        <v>1.466666667</v>
      </c>
      <c r="K137" s="22">
        <f t="shared" si="4"/>
        <v>0.0115334184</v>
      </c>
      <c r="L137" s="22">
        <f t="shared" si="5"/>
        <v>1.73001276</v>
      </c>
      <c r="M137" s="22">
        <f t="shared" si="63"/>
        <v>0.2222222222</v>
      </c>
      <c r="N137" s="22">
        <f t="shared" si="64"/>
        <v>0.2225080638</v>
      </c>
      <c r="O137" s="22">
        <f t="shared" si="65"/>
        <v>0.5101710978</v>
      </c>
      <c r="P137" s="22">
        <f t="shared" si="9"/>
        <v>1.00023387</v>
      </c>
      <c r="AE137" s="22">
        <f t="shared" si="61"/>
        <v>148</v>
      </c>
      <c r="AF137" s="22">
        <f t="shared" si="62"/>
        <v>137.5</v>
      </c>
    </row>
    <row r="138">
      <c r="A138" s="18" t="s">
        <v>31</v>
      </c>
      <c r="B138" s="8" t="s">
        <v>30</v>
      </c>
      <c r="C138" s="8">
        <v>5.0</v>
      </c>
      <c r="D138" s="19">
        <v>0.88</v>
      </c>
      <c r="E138" s="20">
        <v>0.86</v>
      </c>
      <c r="F138" s="8">
        <v>0.006</v>
      </c>
      <c r="G138" s="21">
        <v>184.107257826</v>
      </c>
      <c r="H138" s="22">
        <f t="shared" si="1"/>
        <v>0.4668</v>
      </c>
      <c r="I138" s="22">
        <f t="shared" si="2"/>
        <v>2.142245073</v>
      </c>
      <c r="J138" s="22">
        <f t="shared" si="3"/>
        <v>1.023255814</v>
      </c>
      <c r="K138" s="22">
        <f t="shared" si="4"/>
        <v>0.005557933055</v>
      </c>
      <c r="L138" s="22">
        <f t="shared" si="5"/>
        <v>0.7966370712</v>
      </c>
      <c r="M138" s="22">
        <f t="shared" si="63"/>
        <v>0.4444444444</v>
      </c>
      <c r="N138" s="22">
        <f t="shared" si="64"/>
        <v>0.4554270707</v>
      </c>
      <c r="O138" s="22">
        <f t="shared" si="65"/>
        <v>0.3625988883</v>
      </c>
      <c r="P138" s="22">
        <f t="shared" si="9"/>
        <v>1.007603357</v>
      </c>
      <c r="AE138" s="22">
        <f t="shared" si="61"/>
        <v>150</v>
      </c>
      <c r="AF138" s="22">
        <f t="shared" si="62"/>
        <v>125</v>
      </c>
    </row>
    <row r="139">
      <c r="A139" s="18" t="s">
        <v>31</v>
      </c>
      <c r="B139" s="8" t="s">
        <v>30</v>
      </c>
      <c r="C139" s="8">
        <v>6.0</v>
      </c>
      <c r="D139" s="19">
        <v>0.88</v>
      </c>
      <c r="E139" s="27">
        <v>0.98</v>
      </c>
      <c r="F139" s="8">
        <v>0.007</v>
      </c>
      <c r="G139" s="21">
        <v>208.498658950999</v>
      </c>
      <c r="H139" s="22">
        <f t="shared" si="1"/>
        <v>0.5446</v>
      </c>
      <c r="I139" s="22">
        <f t="shared" si="2"/>
        <v>1.836210062</v>
      </c>
      <c r="J139" s="22">
        <f t="shared" si="3"/>
        <v>0.8979591837</v>
      </c>
      <c r="K139" s="22">
        <f t="shared" si="4"/>
        <v>0.004306786375</v>
      </c>
      <c r="L139" s="22">
        <f t="shared" si="5"/>
        <v>0.6029500926</v>
      </c>
      <c r="M139" s="22">
        <f t="shared" si="63"/>
        <v>0.5555555556</v>
      </c>
      <c r="N139" s="22">
        <f t="shared" si="64"/>
        <v>0.5552016489</v>
      </c>
      <c r="O139" s="22">
        <f t="shared" si="65"/>
        <v>0.3150979119</v>
      </c>
      <c r="P139" s="22">
        <f t="shared" si="9"/>
        <v>0.9997724886</v>
      </c>
      <c r="AE139" s="22">
        <f t="shared" si="61"/>
        <v>142</v>
      </c>
      <c r="AF139" s="22">
        <f t="shared" si="62"/>
        <v>142.5</v>
      </c>
    </row>
    <row r="140">
      <c r="A140" s="18" t="s">
        <v>31</v>
      </c>
      <c r="B140" s="8" t="s">
        <v>30</v>
      </c>
      <c r="C140" s="8">
        <v>7.0</v>
      </c>
      <c r="D140" s="19">
        <v>0.88</v>
      </c>
      <c r="E140" s="20">
        <v>0.92</v>
      </c>
      <c r="F140" s="8">
        <v>0.007</v>
      </c>
      <c r="G140" s="21">
        <v>196.76449912</v>
      </c>
      <c r="H140" s="22">
        <f t="shared" si="1"/>
        <v>0.5446</v>
      </c>
      <c r="I140" s="22">
        <f t="shared" si="2"/>
        <v>1.836210062</v>
      </c>
      <c r="J140" s="22">
        <f t="shared" si="3"/>
        <v>0.9565217391</v>
      </c>
      <c r="K140" s="22">
        <f t="shared" si="4"/>
        <v>0.004861251615</v>
      </c>
      <c r="L140" s="22">
        <f t="shared" si="5"/>
        <v>0.6389073551</v>
      </c>
      <c r="M140" s="22">
        <f t="shared" si="63"/>
        <v>0.5555555556</v>
      </c>
      <c r="N140" s="22">
        <f t="shared" si="64"/>
        <v>0.5072023215</v>
      </c>
      <c r="O140" s="22">
        <f t="shared" si="65"/>
        <v>0.3251327212</v>
      </c>
      <c r="P140" s="22">
        <f t="shared" si="9"/>
        <v>0.9689157781</v>
      </c>
      <c r="AE140" s="22">
        <f t="shared" si="61"/>
        <v>152.5</v>
      </c>
      <c r="AF140" s="22">
        <f t="shared" si="62"/>
        <v>137.5</v>
      </c>
    </row>
    <row r="141">
      <c r="A141" s="18" t="s">
        <v>31</v>
      </c>
      <c r="B141" s="8" t="s">
        <v>30</v>
      </c>
      <c r="C141" s="8">
        <v>8.0</v>
      </c>
      <c r="D141" s="19">
        <v>0.88</v>
      </c>
      <c r="E141" s="27">
        <v>0.84</v>
      </c>
      <c r="F141" s="8">
        <v>0.006</v>
      </c>
      <c r="G141" s="21">
        <v>179.953413857999</v>
      </c>
      <c r="H141" s="22">
        <f t="shared" si="1"/>
        <v>0.4668</v>
      </c>
      <c r="I141" s="22">
        <f t="shared" si="2"/>
        <v>2.142245073</v>
      </c>
      <c r="J141" s="22">
        <f t="shared" si="3"/>
        <v>1.047619048</v>
      </c>
      <c r="K141" s="22">
        <f t="shared" si="4"/>
        <v>0.005821612523</v>
      </c>
      <c r="L141" s="22">
        <f t="shared" si="5"/>
        <v>0.8150257532</v>
      </c>
      <c r="M141" s="22">
        <f t="shared" si="63"/>
        <v>0.4444444444</v>
      </c>
      <c r="N141" s="22">
        <f t="shared" si="64"/>
        <v>0.4384355076</v>
      </c>
      <c r="O141" s="22">
        <f t="shared" si="65"/>
        <v>0.3668820986</v>
      </c>
      <c r="P141" s="22">
        <f t="shared" si="9"/>
        <v>0.9958399668</v>
      </c>
      <c r="AE141" s="22">
        <f t="shared" si="61"/>
        <v>130</v>
      </c>
      <c r="AF141" s="22">
        <f t="shared" si="62"/>
        <v>132.5</v>
      </c>
    </row>
    <row r="142">
      <c r="A142" s="18" t="s">
        <v>31</v>
      </c>
      <c r="B142" s="8" t="s">
        <v>30</v>
      </c>
      <c r="C142" s="8">
        <v>9.0</v>
      </c>
      <c r="D142" s="19">
        <v>0.88</v>
      </c>
      <c r="E142" s="20">
        <v>0.79</v>
      </c>
      <c r="F142" s="8">
        <v>0.006</v>
      </c>
      <c r="G142" s="21">
        <v>167.940760374</v>
      </c>
      <c r="H142" s="22">
        <f t="shared" si="1"/>
        <v>0.4668</v>
      </c>
      <c r="I142" s="22">
        <f t="shared" si="2"/>
        <v>2.142245073</v>
      </c>
      <c r="J142" s="22">
        <f t="shared" si="3"/>
        <v>1.113924051</v>
      </c>
      <c r="K142" s="22">
        <f t="shared" si="4"/>
        <v>0.006632839152</v>
      </c>
      <c r="L142" s="22">
        <f t="shared" si="5"/>
        <v>0.8733238217</v>
      </c>
      <c r="M142" s="22">
        <f t="shared" si="63"/>
        <v>0.4444444444</v>
      </c>
      <c r="N142" s="22">
        <f t="shared" si="64"/>
        <v>0.3892969842</v>
      </c>
      <c r="O142" s="22">
        <f t="shared" si="65"/>
        <v>0.3798584779</v>
      </c>
      <c r="P142" s="22">
        <f t="shared" si="9"/>
        <v>0.9618209891</v>
      </c>
      <c r="AE142" s="22">
        <f t="shared" si="61"/>
        <v>140</v>
      </c>
      <c r="AF142" s="22">
        <f t="shared" si="62"/>
        <v>142.7272727</v>
      </c>
    </row>
    <row r="143">
      <c r="A143" s="18" t="s">
        <v>31</v>
      </c>
      <c r="B143" s="8" t="s">
        <v>30</v>
      </c>
      <c r="C143" s="8">
        <v>10.0</v>
      </c>
      <c r="D143" s="19">
        <v>0.88</v>
      </c>
      <c r="E143" s="27">
        <v>0.73</v>
      </c>
      <c r="F143" s="8">
        <v>0.005</v>
      </c>
      <c r="G143" s="21">
        <v>156.338683044999</v>
      </c>
      <c r="H143" s="22">
        <f t="shared" si="1"/>
        <v>0.389</v>
      </c>
      <c r="I143" s="22">
        <f t="shared" si="2"/>
        <v>2.570694087</v>
      </c>
      <c r="J143" s="22">
        <f t="shared" si="3"/>
        <v>1.205479452</v>
      </c>
      <c r="K143" s="22">
        <f t="shared" si="4"/>
        <v>0.007710692124</v>
      </c>
      <c r="L143" s="22">
        <f t="shared" si="5"/>
        <v>1.12576105</v>
      </c>
      <c r="M143" s="22">
        <f t="shared" si="63"/>
        <v>0.3333333333</v>
      </c>
      <c r="N143" s="22">
        <f t="shared" si="64"/>
        <v>0.3418379487</v>
      </c>
      <c r="O143" s="22">
        <f t="shared" si="65"/>
        <v>0.4260680346</v>
      </c>
      <c r="P143" s="22">
        <f t="shared" si="9"/>
        <v>1.006378462</v>
      </c>
      <c r="AE143" s="22">
        <f t="shared" si="61"/>
        <v>128.3333333</v>
      </c>
      <c r="AF143" s="22">
        <f t="shared" si="62"/>
        <v>145</v>
      </c>
    </row>
    <row r="144">
      <c r="A144" s="18" t="s">
        <v>31</v>
      </c>
      <c r="B144" s="8" t="s">
        <v>30</v>
      </c>
      <c r="C144" s="8">
        <v>11.0</v>
      </c>
      <c r="D144" s="19">
        <v>0.88</v>
      </c>
      <c r="E144" s="20">
        <v>0.73</v>
      </c>
      <c r="F144" s="8">
        <v>0.005</v>
      </c>
      <c r="G144" s="21">
        <v>156.534003836999</v>
      </c>
      <c r="H144" s="22">
        <f t="shared" si="1"/>
        <v>0.389</v>
      </c>
      <c r="I144" s="22">
        <f t="shared" si="2"/>
        <v>2.570694087</v>
      </c>
      <c r="J144" s="22">
        <f t="shared" si="3"/>
        <v>1.205479452</v>
      </c>
      <c r="K144" s="22">
        <f t="shared" si="4"/>
        <v>0.007701070838</v>
      </c>
      <c r="L144" s="22">
        <f t="shared" si="5"/>
        <v>1.124356342</v>
      </c>
      <c r="M144" s="22">
        <f t="shared" si="63"/>
        <v>0.3333333333</v>
      </c>
      <c r="N144" s="22">
        <f t="shared" si="64"/>
        <v>0.3426369209</v>
      </c>
      <c r="O144" s="22">
        <f t="shared" si="65"/>
        <v>0.4258144914</v>
      </c>
      <c r="P144" s="22">
        <f t="shared" si="9"/>
        <v>1.006977691</v>
      </c>
      <c r="AE144" s="22">
        <f t="shared" si="61"/>
        <v>130</v>
      </c>
      <c r="AF144" s="22">
        <f t="shared" si="62"/>
        <v>138.5714286</v>
      </c>
    </row>
    <row r="145">
      <c r="A145" s="18" t="s">
        <v>31</v>
      </c>
      <c r="B145" s="8" t="s">
        <v>30</v>
      </c>
      <c r="C145" s="8">
        <v>12.0</v>
      </c>
      <c r="D145" s="19">
        <v>0.88</v>
      </c>
      <c r="E145" s="27">
        <v>0.99</v>
      </c>
      <c r="F145" s="8">
        <v>0.007</v>
      </c>
      <c r="G145" s="21">
        <v>210.285312152999</v>
      </c>
      <c r="H145" s="22">
        <f t="shared" si="1"/>
        <v>0.5446</v>
      </c>
      <c r="I145" s="22">
        <f t="shared" si="2"/>
        <v>1.836210062</v>
      </c>
      <c r="J145" s="22">
        <f t="shared" si="3"/>
        <v>0.8888888889</v>
      </c>
      <c r="K145" s="22">
        <f t="shared" si="4"/>
        <v>0.004227061224</v>
      </c>
      <c r="L145" s="22">
        <f t="shared" si="5"/>
        <v>0.5978272302</v>
      </c>
      <c r="M145" s="22">
        <f t="shared" si="63"/>
        <v>0.5555555556</v>
      </c>
      <c r="N145" s="22">
        <f t="shared" si="64"/>
        <v>0.5625100675</v>
      </c>
      <c r="O145" s="22">
        <f t="shared" si="65"/>
        <v>0.3136240863</v>
      </c>
      <c r="P145" s="22">
        <f t="shared" si="9"/>
        <v>1.004470758</v>
      </c>
      <c r="AE145" s="22">
        <f t="shared" si="61"/>
        <v>138.3333333</v>
      </c>
      <c r="AF145" s="22">
        <f t="shared" si="62"/>
        <v>150</v>
      </c>
    </row>
    <row r="146">
      <c r="A146" s="18" t="s">
        <v>31</v>
      </c>
      <c r="B146" s="8" t="s">
        <v>30</v>
      </c>
      <c r="C146" s="8">
        <v>13.0</v>
      </c>
      <c r="D146" s="19">
        <v>0.88</v>
      </c>
      <c r="E146" s="20">
        <v>0.69</v>
      </c>
      <c r="F146" s="8">
        <v>0.005</v>
      </c>
      <c r="G146" s="21">
        <v>147.178182044999</v>
      </c>
      <c r="H146" s="22">
        <f t="shared" si="1"/>
        <v>0.389</v>
      </c>
      <c r="I146" s="22">
        <f t="shared" si="2"/>
        <v>2.570694087</v>
      </c>
      <c r="J146" s="22">
        <f t="shared" si="3"/>
        <v>1.275362319</v>
      </c>
      <c r="K146" s="22">
        <f t="shared" si="4"/>
        <v>0.008665430576</v>
      </c>
      <c r="L146" s="22">
        <f t="shared" si="5"/>
        <v>1.19582942</v>
      </c>
      <c r="M146" s="22">
        <f t="shared" si="63"/>
        <v>0.3333333333</v>
      </c>
      <c r="N146" s="22">
        <f t="shared" si="64"/>
        <v>0.3043663365</v>
      </c>
      <c r="O146" s="22">
        <f t="shared" si="65"/>
        <v>0.438308044</v>
      </c>
      <c r="P146" s="22">
        <f t="shared" si="9"/>
        <v>0.9782747524</v>
      </c>
      <c r="AE146" s="22">
        <f t="shared" si="61"/>
        <v>135</v>
      </c>
      <c r="AF146" s="22">
        <f t="shared" si="62"/>
        <v>143.75</v>
      </c>
    </row>
    <row r="147">
      <c r="A147" s="18" t="s">
        <v>31</v>
      </c>
      <c r="B147" s="8" t="s">
        <v>30</v>
      </c>
      <c r="C147" s="8">
        <v>14.0</v>
      </c>
      <c r="D147" s="19">
        <v>0.88</v>
      </c>
      <c r="E147" s="27">
        <v>0.76</v>
      </c>
      <c r="F147" s="8">
        <v>0.005</v>
      </c>
      <c r="G147" s="21">
        <v>161.111217435</v>
      </c>
      <c r="H147" s="22">
        <f t="shared" si="1"/>
        <v>0.389</v>
      </c>
      <c r="I147" s="22">
        <f t="shared" si="2"/>
        <v>2.570694087</v>
      </c>
      <c r="J147" s="22">
        <f t="shared" si="3"/>
        <v>1.157894737</v>
      </c>
      <c r="K147" s="22">
        <f t="shared" si="4"/>
        <v>0.007186928106</v>
      </c>
      <c r="L147" s="22">
        <f t="shared" si="5"/>
        <v>1.092413072</v>
      </c>
      <c r="M147" s="22">
        <f t="shared" si="63"/>
        <v>0.3333333333</v>
      </c>
      <c r="N147" s="22">
        <f t="shared" si="64"/>
        <v>0.3613603043</v>
      </c>
      <c r="O147" s="22">
        <f t="shared" si="65"/>
        <v>0.4199580785</v>
      </c>
      <c r="P147" s="22">
        <f t="shared" si="9"/>
        <v>1.021020228</v>
      </c>
      <c r="AE147" s="22">
        <f t="shared" si="61"/>
        <v>137.1428571</v>
      </c>
      <c r="AF147" s="22">
        <f t="shared" si="62"/>
        <v>142</v>
      </c>
    </row>
    <row r="148">
      <c r="A148" s="18" t="s">
        <v>31</v>
      </c>
      <c r="B148" s="8" t="s">
        <v>30</v>
      </c>
      <c r="C148" s="8">
        <v>15.0</v>
      </c>
      <c r="D148" s="19">
        <v>0.88</v>
      </c>
      <c r="E148" s="20">
        <v>0.91</v>
      </c>
      <c r="F148" s="8">
        <v>0.007</v>
      </c>
      <c r="G148" s="21">
        <v>193.943765326</v>
      </c>
      <c r="H148" s="22">
        <f t="shared" si="1"/>
        <v>0.5446</v>
      </c>
      <c r="I148" s="22">
        <f t="shared" si="2"/>
        <v>1.836210062</v>
      </c>
      <c r="J148" s="22">
        <f t="shared" si="3"/>
        <v>0.967032967</v>
      </c>
      <c r="K148" s="22">
        <f t="shared" si="4"/>
        <v>0.004986151349</v>
      </c>
      <c r="L148" s="22">
        <f t="shared" si="5"/>
        <v>0.6481996753</v>
      </c>
      <c r="M148" s="22">
        <f t="shared" si="63"/>
        <v>0.5555555556</v>
      </c>
      <c r="N148" s="22">
        <f t="shared" si="64"/>
        <v>0.4956639305</v>
      </c>
      <c r="O148" s="22">
        <f t="shared" si="65"/>
        <v>0.3276409775</v>
      </c>
      <c r="P148" s="22">
        <f t="shared" si="9"/>
        <v>0.961498241</v>
      </c>
      <c r="AE148" s="22">
        <f t="shared" si="61"/>
        <v>150</v>
      </c>
      <c r="AF148" s="22">
        <f t="shared" si="62"/>
        <v>141.25</v>
      </c>
    </row>
    <row r="149">
      <c r="A149" s="18" t="s">
        <v>31</v>
      </c>
      <c r="B149" s="8" t="s">
        <v>30</v>
      </c>
      <c r="C149" s="8">
        <v>16.0</v>
      </c>
      <c r="D149" s="19">
        <v>0.88</v>
      </c>
      <c r="E149" s="27">
        <v>1.03</v>
      </c>
      <c r="F149" s="8">
        <v>0.007</v>
      </c>
      <c r="G149" s="21">
        <v>219.065710502</v>
      </c>
      <c r="H149" s="22">
        <f t="shared" si="1"/>
        <v>0.5446</v>
      </c>
      <c r="I149" s="22">
        <f t="shared" si="2"/>
        <v>1.836210062</v>
      </c>
      <c r="J149" s="22">
        <f t="shared" si="3"/>
        <v>0.854368932</v>
      </c>
      <c r="K149" s="22">
        <f t="shared" si="4"/>
        <v>0.003900057796</v>
      </c>
      <c r="L149" s="22">
        <f t="shared" si="5"/>
        <v>0.5738656471</v>
      </c>
      <c r="M149" s="22">
        <f t="shared" si="63"/>
        <v>0.5555555556</v>
      </c>
      <c r="N149" s="22">
        <f t="shared" si="64"/>
        <v>0.5984268456</v>
      </c>
      <c r="O149" s="22">
        <f t="shared" si="65"/>
        <v>0.3065769282</v>
      </c>
      <c r="P149" s="22">
        <f t="shared" si="9"/>
        <v>1.027560115</v>
      </c>
      <c r="AE149" s="22">
        <f t="shared" si="61"/>
        <v>140</v>
      </c>
      <c r="AF149" s="22">
        <f t="shared" si="62"/>
        <v>131.25</v>
      </c>
    </row>
    <row r="150">
      <c r="A150" s="18" t="s">
        <v>31</v>
      </c>
      <c r="B150" s="8" t="s">
        <v>30</v>
      </c>
      <c r="C150" s="8">
        <v>17.0</v>
      </c>
      <c r="D150" s="19">
        <v>0.88</v>
      </c>
      <c r="E150" s="20">
        <v>0.68</v>
      </c>
      <c r="F150" s="8">
        <v>0.005</v>
      </c>
      <c r="G150" s="21">
        <v>146.094660953999</v>
      </c>
      <c r="H150" s="22">
        <f t="shared" si="1"/>
        <v>0.389</v>
      </c>
      <c r="I150" s="22">
        <f t="shared" si="2"/>
        <v>2.570694087</v>
      </c>
      <c r="J150" s="22">
        <f t="shared" si="3"/>
        <v>1.294117647</v>
      </c>
      <c r="K150" s="22">
        <f t="shared" si="4"/>
        <v>0.008858076254</v>
      </c>
      <c r="L150" s="22">
        <f t="shared" si="5"/>
        <v>1.204698371</v>
      </c>
      <c r="M150" s="22">
        <f t="shared" si="63"/>
        <v>0.3333333333</v>
      </c>
      <c r="N150" s="22">
        <f t="shared" si="64"/>
        <v>0.2999341246</v>
      </c>
      <c r="O150" s="22">
        <f t="shared" si="65"/>
        <v>0.4398024844</v>
      </c>
      <c r="P150" s="22">
        <f t="shared" si="9"/>
        <v>0.9749505934</v>
      </c>
      <c r="AE150" s="22">
        <f t="shared" si="61"/>
        <v>135</v>
      </c>
      <c r="AF150" s="22">
        <f t="shared" si="62"/>
        <v>144</v>
      </c>
    </row>
    <row r="151">
      <c r="A151" s="18" t="s">
        <v>31</v>
      </c>
      <c r="B151" s="8" t="s">
        <v>30</v>
      </c>
      <c r="C151" s="8">
        <v>18.0</v>
      </c>
      <c r="D151" s="19">
        <v>0.88</v>
      </c>
      <c r="E151" s="27">
        <v>0.78</v>
      </c>
      <c r="F151" s="8">
        <v>0.006</v>
      </c>
      <c r="G151" s="21">
        <v>165.982832305</v>
      </c>
      <c r="H151" s="22">
        <f t="shared" si="1"/>
        <v>0.4668</v>
      </c>
      <c r="I151" s="22">
        <f t="shared" si="2"/>
        <v>2.142245073</v>
      </c>
      <c r="J151" s="22">
        <f t="shared" si="3"/>
        <v>1.128205128</v>
      </c>
      <c r="K151" s="22">
        <f t="shared" si="4"/>
        <v>0.006797119392</v>
      </c>
      <c r="L151" s="22">
        <f t="shared" si="5"/>
        <v>0.883625521</v>
      </c>
      <c r="M151" s="22">
        <f t="shared" si="63"/>
        <v>0.4444444444</v>
      </c>
      <c r="N151" s="22">
        <f t="shared" si="64"/>
        <v>0.3812879549</v>
      </c>
      <c r="O151" s="22">
        <f t="shared" si="65"/>
        <v>0.3820609858</v>
      </c>
      <c r="P151" s="22">
        <f t="shared" si="9"/>
        <v>0.9562762765</v>
      </c>
      <c r="AE151" s="22">
        <f t="shared" si="61"/>
        <v>138.3333333</v>
      </c>
      <c r="AF151" s="22">
        <f t="shared" si="62"/>
        <v>146.25</v>
      </c>
    </row>
    <row r="152">
      <c r="A152" s="18" t="s">
        <v>31</v>
      </c>
      <c r="B152" s="8" t="s">
        <v>30</v>
      </c>
      <c r="C152" s="8">
        <v>19.0</v>
      </c>
      <c r="D152" s="19">
        <v>0.88</v>
      </c>
      <c r="E152" s="20">
        <v>0.71</v>
      </c>
      <c r="F152" s="8">
        <v>0.005</v>
      </c>
      <c r="G152" s="21">
        <v>151.364616298</v>
      </c>
      <c r="H152" s="22">
        <f t="shared" si="1"/>
        <v>0.389</v>
      </c>
      <c r="I152" s="22">
        <f t="shared" si="2"/>
        <v>2.570694087</v>
      </c>
      <c r="J152" s="22">
        <f t="shared" si="3"/>
        <v>1.23943662</v>
      </c>
      <c r="K152" s="22">
        <f t="shared" si="4"/>
        <v>0.008188417148</v>
      </c>
      <c r="L152" s="22">
        <f t="shared" si="5"/>
        <v>1.162755235</v>
      </c>
      <c r="M152" s="22">
        <f t="shared" si="63"/>
        <v>0.3333333333</v>
      </c>
      <c r="N152" s="22">
        <f t="shared" si="64"/>
        <v>0.3214912122</v>
      </c>
      <c r="O152" s="22">
        <f t="shared" si="65"/>
        <v>0.4326281191</v>
      </c>
      <c r="P152" s="22">
        <f t="shared" si="9"/>
        <v>0.9911184092</v>
      </c>
      <c r="AE152" s="22">
        <f t="shared" si="61"/>
        <v>135.7142857</v>
      </c>
      <c r="AF152" s="22">
        <f t="shared" si="62"/>
        <v>138</v>
      </c>
    </row>
    <row r="153">
      <c r="A153" s="18" t="s">
        <v>31</v>
      </c>
      <c r="B153" s="8" t="s">
        <v>30</v>
      </c>
      <c r="C153" s="8">
        <v>20.0</v>
      </c>
      <c r="D153" s="19">
        <v>0.88</v>
      </c>
      <c r="E153" s="27">
        <v>1.0</v>
      </c>
      <c r="F153" s="8">
        <v>0.007</v>
      </c>
      <c r="G153" s="21">
        <v>212.390476913</v>
      </c>
      <c r="H153" s="22">
        <f t="shared" si="1"/>
        <v>0.5446</v>
      </c>
      <c r="I153" s="22">
        <f t="shared" si="2"/>
        <v>1.836210062</v>
      </c>
      <c r="J153" s="22">
        <f t="shared" si="3"/>
        <v>0.88</v>
      </c>
      <c r="K153" s="22">
        <f t="shared" si="4"/>
        <v>0.004143311945</v>
      </c>
      <c r="L153" s="22">
        <f t="shared" si="5"/>
        <v>0.5919017064</v>
      </c>
      <c r="M153" s="22">
        <f t="shared" si="63"/>
        <v>0.5555555556</v>
      </c>
      <c r="N153" s="22">
        <f t="shared" si="64"/>
        <v>0.5711213779</v>
      </c>
      <c r="O153" s="22">
        <f t="shared" si="65"/>
        <v>0.3119051138</v>
      </c>
      <c r="P153" s="22">
        <f t="shared" si="9"/>
        <v>1.0100066</v>
      </c>
      <c r="AE153" s="22">
        <f t="shared" si="61"/>
        <v>141.6666667</v>
      </c>
      <c r="AF153" s="22">
        <f t="shared" si="62"/>
        <v>134.1666667</v>
      </c>
    </row>
    <row r="154">
      <c r="A154" s="18" t="s">
        <v>31</v>
      </c>
      <c r="B154" s="8" t="s">
        <v>30</v>
      </c>
      <c r="C154" s="8">
        <v>21.0</v>
      </c>
      <c r="D154" s="19">
        <v>0.88</v>
      </c>
      <c r="E154" s="20">
        <v>0.75</v>
      </c>
      <c r="F154" s="8">
        <v>0.005</v>
      </c>
      <c r="G154" s="21">
        <v>159.274794766</v>
      </c>
      <c r="H154" s="22">
        <f t="shared" si="1"/>
        <v>0.389</v>
      </c>
      <c r="I154" s="22">
        <f t="shared" si="2"/>
        <v>2.570694087</v>
      </c>
      <c r="J154" s="22">
        <f t="shared" si="3"/>
        <v>1.173333333</v>
      </c>
      <c r="K154" s="22">
        <f t="shared" si="4"/>
        <v>0.007366723247</v>
      </c>
      <c r="L154" s="22">
        <f t="shared" si="5"/>
        <v>1.105008487</v>
      </c>
      <c r="M154" s="22">
        <f t="shared" si="63"/>
        <v>0.3333333333</v>
      </c>
      <c r="N154" s="22">
        <f t="shared" si="64"/>
        <v>0.3538483005</v>
      </c>
      <c r="O154" s="22">
        <f t="shared" si="65"/>
        <v>0.4222882707</v>
      </c>
      <c r="P154" s="22">
        <f t="shared" si="9"/>
        <v>1.015386225</v>
      </c>
      <c r="AE154" s="22">
        <f t="shared" si="61"/>
        <v>145</v>
      </c>
      <c r="AF154" s="22">
        <f t="shared" si="62"/>
        <v>142.5</v>
      </c>
    </row>
    <row r="155">
      <c r="A155" s="18" t="s">
        <v>31</v>
      </c>
      <c r="B155" s="8" t="s">
        <v>30</v>
      </c>
      <c r="C155" s="8">
        <v>22.0</v>
      </c>
      <c r="D155" s="19">
        <v>0.88</v>
      </c>
      <c r="E155" s="27">
        <v>0.84</v>
      </c>
      <c r="F155" s="8">
        <v>0.006</v>
      </c>
      <c r="G155" s="21">
        <v>178.559565105</v>
      </c>
      <c r="H155" s="22">
        <f t="shared" si="1"/>
        <v>0.4668</v>
      </c>
      <c r="I155" s="22">
        <f t="shared" si="2"/>
        <v>2.142245073</v>
      </c>
      <c r="J155" s="22">
        <f t="shared" si="3"/>
        <v>1.047619048</v>
      </c>
      <c r="K155" s="22">
        <f t="shared" si="4"/>
        <v>0.005867056447</v>
      </c>
      <c r="L155" s="22">
        <f t="shared" si="5"/>
        <v>0.8213879026</v>
      </c>
      <c r="M155" s="22">
        <f t="shared" si="63"/>
        <v>0.4444444444</v>
      </c>
      <c r="N155" s="22">
        <f t="shared" si="64"/>
        <v>0.4327338806</v>
      </c>
      <c r="O155" s="22">
        <f t="shared" si="65"/>
        <v>0.3683421219</v>
      </c>
      <c r="P155" s="22">
        <f t="shared" si="9"/>
        <v>0.9918926866</v>
      </c>
      <c r="AE155" s="22">
        <f t="shared" si="61"/>
        <v>146</v>
      </c>
      <c r="AF155" s="22">
        <f t="shared" si="62"/>
        <v>137.5</v>
      </c>
    </row>
    <row r="156">
      <c r="A156" s="18" t="s">
        <v>31</v>
      </c>
      <c r="B156" s="8" t="s">
        <v>30</v>
      </c>
      <c r="C156" s="8">
        <v>23.0</v>
      </c>
      <c r="D156" s="19">
        <v>0.88</v>
      </c>
      <c r="E156" s="20">
        <v>0.79</v>
      </c>
      <c r="F156" s="8">
        <v>0.006</v>
      </c>
      <c r="G156" s="21">
        <v>169.563248341999</v>
      </c>
      <c r="H156" s="22">
        <f t="shared" si="1"/>
        <v>0.4668</v>
      </c>
      <c r="I156" s="22">
        <f t="shared" si="2"/>
        <v>2.142245073</v>
      </c>
      <c r="J156" s="22">
        <f t="shared" si="3"/>
        <v>1.113924051</v>
      </c>
      <c r="K156" s="22">
        <f t="shared" si="4"/>
        <v>0.006569371969</v>
      </c>
      <c r="L156" s="22">
        <f t="shared" si="5"/>
        <v>0.8649673093</v>
      </c>
      <c r="M156" s="22">
        <f t="shared" si="63"/>
        <v>0.4444444444</v>
      </c>
      <c r="N156" s="22">
        <f t="shared" si="64"/>
        <v>0.3959338745</v>
      </c>
      <c r="O156" s="22">
        <f t="shared" si="65"/>
        <v>0.3780524618</v>
      </c>
      <c r="P156" s="22">
        <f t="shared" si="9"/>
        <v>0.9664157593</v>
      </c>
      <c r="AE156" s="22">
        <f t="shared" si="61"/>
        <v>144</v>
      </c>
      <c r="AF156" s="22">
        <f t="shared" si="62"/>
        <v>145</v>
      </c>
    </row>
    <row r="157">
      <c r="A157" s="18" t="s">
        <v>31</v>
      </c>
      <c r="B157" s="8" t="s">
        <v>30</v>
      </c>
      <c r="C157" s="8">
        <v>24.0</v>
      </c>
      <c r="D157" s="19">
        <v>0.88</v>
      </c>
      <c r="E157" s="27">
        <v>0.8</v>
      </c>
      <c r="F157" s="8">
        <v>0.006</v>
      </c>
      <c r="G157" s="21">
        <v>170.657758737999</v>
      </c>
      <c r="H157" s="22">
        <f t="shared" si="1"/>
        <v>0.4668</v>
      </c>
      <c r="I157" s="22">
        <f t="shared" si="2"/>
        <v>2.142245073</v>
      </c>
      <c r="J157" s="22">
        <f t="shared" si="3"/>
        <v>1.1</v>
      </c>
      <c r="K157" s="22">
        <f t="shared" si="4"/>
        <v>0.00644564893</v>
      </c>
      <c r="L157" s="22">
        <f t="shared" si="5"/>
        <v>0.8594198573</v>
      </c>
      <c r="M157" s="22">
        <f t="shared" si="63"/>
        <v>0.4444444444</v>
      </c>
      <c r="N157" s="22">
        <f t="shared" si="64"/>
        <v>0.4004110389</v>
      </c>
      <c r="O157" s="22">
        <f t="shared" si="65"/>
        <v>0.3768438145</v>
      </c>
      <c r="P157" s="22">
        <f t="shared" si="9"/>
        <v>0.9695153346</v>
      </c>
      <c r="AE157" s="22">
        <f t="shared" si="61"/>
        <v>145.7142857</v>
      </c>
      <c r="AF157" s="22">
        <f t="shared" si="62"/>
        <v>140</v>
      </c>
    </row>
    <row r="158">
      <c r="A158" s="18" t="s">
        <v>31</v>
      </c>
      <c r="B158" s="8" t="s">
        <v>30</v>
      </c>
      <c r="C158" s="8">
        <v>25.0</v>
      </c>
      <c r="D158" s="19">
        <v>0.88</v>
      </c>
      <c r="E158" s="20">
        <v>0.97</v>
      </c>
      <c r="F158" s="8">
        <v>0.007</v>
      </c>
      <c r="G158" s="21">
        <v>207.84969794</v>
      </c>
      <c r="H158" s="22">
        <f t="shared" si="1"/>
        <v>0.5446</v>
      </c>
      <c r="I158" s="22">
        <f t="shared" si="2"/>
        <v>1.836210062</v>
      </c>
      <c r="J158" s="22">
        <f t="shared" si="3"/>
        <v>0.9072164948</v>
      </c>
      <c r="K158" s="22">
        <f t="shared" si="4"/>
        <v>0.004364771774</v>
      </c>
      <c r="L158" s="22">
        <f t="shared" si="5"/>
        <v>0.6048326601</v>
      </c>
      <c r="M158" s="22">
        <f t="shared" si="63"/>
        <v>0.5555555556</v>
      </c>
      <c r="N158" s="22">
        <f t="shared" si="64"/>
        <v>0.5525470326</v>
      </c>
      <c r="O158" s="22">
        <f t="shared" si="65"/>
        <v>0.3156366808</v>
      </c>
      <c r="P158" s="22">
        <f t="shared" si="9"/>
        <v>0.9980659495</v>
      </c>
      <c r="AE158" s="22">
        <f t="shared" si="61"/>
        <v>140</v>
      </c>
      <c r="AF158" s="22">
        <f t="shared" si="62"/>
        <v>141.6666667</v>
      </c>
    </row>
    <row r="159">
      <c r="A159" s="18" t="s">
        <v>31</v>
      </c>
      <c r="B159" s="8" t="s">
        <v>30</v>
      </c>
      <c r="C159" s="8">
        <v>26.0</v>
      </c>
      <c r="D159" s="19">
        <v>0.88</v>
      </c>
      <c r="E159" s="27">
        <v>1.04</v>
      </c>
      <c r="F159" s="8">
        <v>0.007</v>
      </c>
      <c r="G159" s="21">
        <v>221.724510462</v>
      </c>
      <c r="H159" s="22">
        <f t="shared" si="1"/>
        <v>0.5446</v>
      </c>
      <c r="I159" s="22">
        <f t="shared" si="2"/>
        <v>1.836210062</v>
      </c>
      <c r="J159" s="22">
        <f t="shared" si="3"/>
        <v>0.8461538462</v>
      </c>
      <c r="K159" s="22">
        <f t="shared" si="4"/>
        <v>0.003816239551</v>
      </c>
      <c r="L159" s="22">
        <f t="shared" si="5"/>
        <v>0.5669841618</v>
      </c>
      <c r="M159" s="22">
        <f t="shared" si="63"/>
        <v>0.5555555556</v>
      </c>
      <c r="N159" s="22">
        <f t="shared" si="64"/>
        <v>0.609302836</v>
      </c>
      <c r="O159" s="22">
        <f t="shared" si="65"/>
        <v>0.30450502</v>
      </c>
      <c r="P159" s="22">
        <f t="shared" si="9"/>
        <v>1.034551823</v>
      </c>
      <c r="AE159" s="22">
        <f t="shared" si="61"/>
        <v>138.3333333</v>
      </c>
      <c r="AF159" s="22">
        <f t="shared" si="62"/>
        <v>136.6666667</v>
      </c>
    </row>
    <row r="160">
      <c r="A160" s="18" t="s">
        <v>31</v>
      </c>
      <c r="B160" s="8" t="s">
        <v>30</v>
      </c>
      <c r="C160" s="8">
        <v>27.0</v>
      </c>
      <c r="D160" s="19">
        <v>0.88</v>
      </c>
      <c r="E160" s="20">
        <v>0.82</v>
      </c>
      <c r="F160" s="8">
        <v>0.006</v>
      </c>
      <c r="G160" s="21">
        <v>174.417172917999</v>
      </c>
      <c r="H160" s="22">
        <f t="shared" si="1"/>
        <v>0.4668</v>
      </c>
      <c r="I160" s="22">
        <f t="shared" si="2"/>
        <v>2.142245073</v>
      </c>
      <c r="J160" s="22">
        <f t="shared" si="3"/>
        <v>1.073170732</v>
      </c>
      <c r="K160" s="22">
        <f t="shared" si="4"/>
        <v>0.006152896035</v>
      </c>
      <c r="L160" s="22">
        <f t="shared" si="5"/>
        <v>0.8408957915</v>
      </c>
      <c r="M160" s="22">
        <f t="shared" si="63"/>
        <v>0.4444444444</v>
      </c>
      <c r="N160" s="22">
        <f t="shared" si="64"/>
        <v>0.4157891618</v>
      </c>
      <c r="O160" s="22">
        <f t="shared" si="65"/>
        <v>0.3727505846</v>
      </c>
      <c r="P160" s="22">
        <f t="shared" si="9"/>
        <v>0.9801617274</v>
      </c>
      <c r="AE160" s="22">
        <f t="shared" si="61"/>
        <v>136.6666667</v>
      </c>
      <c r="AF160" s="22">
        <f t="shared" si="62"/>
        <v>137.5</v>
      </c>
    </row>
    <row r="161">
      <c r="A161" s="18" t="s">
        <v>31</v>
      </c>
      <c r="B161" s="8" t="s">
        <v>30</v>
      </c>
      <c r="C161" s="8">
        <v>28.0</v>
      </c>
      <c r="D161" s="19">
        <v>0.88</v>
      </c>
      <c r="E161" s="27">
        <v>0.63</v>
      </c>
      <c r="F161" s="8">
        <v>0.005</v>
      </c>
      <c r="G161" s="21">
        <v>135.200940251</v>
      </c>
      <c r="H161" s="22">
        <f t="shared" si="1"/>
        <v>0.389</v>
      </c>
      <c r="I161" s="22">
        <f t="shared" si="2"/>
        <v>2.570694087</v>
      </c>
      <c r="J161" s="22">
        <f t="shared" si="3"/>
        <v>1.396825397</v>
      </c>
      <c r="K161" s="22">
        <f t="shared" si="4"/>
        <v>0.01033147694</v>
      </c>
      <c r="L161" s="22">
        <f t="shared" si="5"/>
        <v>1.301766095</v>
      </c>
      <c r="M161" s="22">
        <f t="shared" si="63"/>
        <v>0.3333333333</v>
      </c>
      <c r="N161" s="22">
        <f t="shared" si="64"/>
        <v>0.2553726669</v>
      </c>
      <c r="O161" s="22">
        <f t="shared" si="65"/>
        <v>0.455413976</v>
      </c>
      <c r="P161" s="22">
        <f t="shared" si="9"/>
        <v>0.9415295002</v>
      </c>
      <c r="AE161" s="22">
        <f t="shared" si="61"/>
        <v>130</v>
      </c>
      <c r="AF161" s="22">
        <f t="shared" si="62"/>
        <v>134.2857143</v>
      </c>
    </row>
    <row r="162">
      <c r="A162" s="18" t="s">
        <v>31</v>
      </c>
      <c r="B162" s="8" t="s">
        <v>30</v>
      </c>
      <c r="C162" s="8">
        <v>29.0</v>
      </c>
      <c r="D162" s="19">
        <v>0.88</v>
      </c>
      <c r="E162" s="20">
        <v>0.72</v>
      </c>
      <c r="F162" s="8">
        <v>0.005</v>
      </c>
      <c r="G162" s="21">
        <v>152.882767147999</v>
      </c>
      <c r="H162" s="22">
        <f t="shared" si="1"/>
        <v>0.389</v>
      </c>
      <c r="I162" s="22">
        <f t="shared" si="2"/>
        <v>2.570694087</v>
      </c>
      <c r="J162" s="22">
        <f t="shared" si="3"/>
        <v>1.222222222</v>
      </c>
      <c r="K162" s="22">
        <f t="shared" si="4"/>
        <v>0.00799450615</v>
      </c>
      <c r="L162" s="22">
        <f t="shared" si="5"/>
        <v>1.151208886</v>
      </c>
      <c r="M162" s="22">
        <f t="shared" si="63"/>
        <v>0.3333333333</v>
      </c>
      <c r="N162" s="22">
        <f t="shared" si="64"/>
        <v>0.3277013049</v>
      </c>
      <c r="O162" s="22">
        <f t="shared" si="65"/>
        <v>0.4306045761</v>
      </c>
      <c r="P162" s="22">
        <f t="shared" si="9"/>
        <v>0.9957759786</v>
      </c>
    </row>
    <row r="163">
      <c r="A163" s="18" t="s">
        <v>31</v>
      </c>
      <c r="B163" s="8" t="s">
        <v>30</v>
      </c>
      <c r="C163" s="8">
        <v>30.0</v>
      </c>
      <c r="D163" s="19">
        <v>0.88</v>
      </c>
      <c r="E163" s="27">
        <v>0.79</v>
      </c>
      <c r="F163" s="8">
        <v>0.006</v>
      </c>
      <c r="G163" s="21">
        <v>168.398548714999</v>
      </c>
      <c r="H163" s="22">
        <f t="shared" si="1"/>
        <v>0.4668</v>
      </c>
      <c r="I163" s="22">
        <f t="shared" si="2"/>
        <v>2.142245073</v>
      </c>
      <c r="J163" s="22">
        <f t="shared" si="3"/>
        <v>1.113924051</v>
      </c>
      <c r="K163" s="22">
        <f t="shared" si="4"/>
        <v>0.006614807901</v>
      </c>
      <c r="L163" s="22">
        <f t="shared" si="5"/>
        <v>0.870949707</v>
      </c>
      <c r="M163" s="22">
        <f t="shared" si="63"/>
        <v>0.4444444444</v>
      </c>
      <c r="N163" s="22">
        <f t="shared" si="64"/>
        <v>0.3911695966</v>
      </c>
      <c r="O163" s="22">
        <f t="shared" si="65"/>
        <v>0.3793471616</v>
      </c>
      <c r="P163" s="22">
        <f t="shared" si="9"/>
        <v>0.963117413</v>
      </c>
    </row>
    <row r="164">
      <c r="A164" s="18" t="s">
        <v>31</v>
      </c>
      <c r="B164" s="8" t="s">
        <v>30</v>
      </c>
      <c r="C164" s="8">
        <v>31.0</v>
      </c>
      <c r="D164" s="19">
        <v>0.88</v>
      </c>
      <c r="E164" s="20">
        <v>1.08</v>
      </c>
      <c r="F164" s="8">
        <v>0.008</v>
      </c>
      <c r="G164" s="21">
        <v>231.205379598</v>
      </c>
      <c r="H164" s="22">
        <f t="shared" si="1"/>
        <v>0.6224</v>
      </c>
      <c r="I164" s="22">
        <f t="shared" si="2"/>
        <v>1.606683805</v>
      </c>
      <c r="J164" s="22">
        <f t="shared" si="3"/>
        <v>0.8148148148</v>
      </c>
      <c r="K164" s="22">
        <f t="shared" si="4"/>
        <v>0.003524203529</v>
      </c>
      <c r="L164" s="22">
        <f t="shared" si="5"/>
        <v>0.4757674765</v>
      </c>
      <c r="M164" s="22">
        <f t="shared" si="63"/>
        <v>0.6666666667</v>
      </c>
      <c r="N164" s="22">
        <f t="shared" si="64"/>
        <v>0.6480849345</v>
      </c>
      <c r="O164" s="22">
        <f t="shared" si="65"/>
        <v>0.2775168904</v>
      </c>
      <c r="P164" s="22">
        <f t="shared" si="9"/>
        <v>0.9888509607</v>
      </c>
      <c r="AE164" s="49" t="s">
        <v>96</v>
      </c>
    </row>
    <row r="165">
      <c r="A165" s="18" t="s">
        <v>31</v>
      </c>
      <c r="B165" s="8" t="s">
        <v>30</v>
      </c>
      <c r="C165" s="8">
        <v>32.0</v>
      </c>
      <c r="D165" s="19">
        <v>0.88</v>
      </c>
      <c r="E165" s="27">
        <v>0.83</v>
      </c>
      <c r="F165" s="8">
        <v>0.006</v>
      </c>
      <c r="G165" s="21">
        <v>176.394297437</v>
      </c>
      <c r="H165" s="22">
        <f t="shared" si="1"/>
        <v>0.4668</v>
      </c>
      <c r="I165" s="22">
        <f t="shared" si="2"/>
        <v>2.142245073</v>
      </c>
      <c r="J165" s="22">
        <f t="shared" si="3"/>
        <v>1.060240964</v>
      </c>
      <c r="K165" s="22">
        <f t="shared" si="4"/>
        <v>0.006010630611</v>
      </c>
      <c r="L165" s="22">
        <f t="shared" si="5"/>
        <v>0.8314705679</v>
      </c>
      <c r="M165" s="22">
        <f t="shared" si="63"/>
        <v>0.4444444444</v>
      </c>
      <c r="N165" s="22">
        <f t="shared" si="64"/>
        <v>0.4238767155</v>
      </c>
      <c r="O165" s="22">
        <f t="shared" si="65"/>
        <v>0.3706333786</v>
      </c>
      <c r="P165" s="22">
        <f t="shared" si="9"/>
        <v>0.985760803</v>
      </c>
      <c r="AE165" s="8" t="s">
        <v>73</v>
      </c>
      <c r="AF165" s="8" t="s">
        <v>74</v>
      </c>
      <c r="AG165" s="17" t="s">
        <v>75</v>
      </c>
      <c r="AH165" s="17" t="s">
        <v>76</v>
      </c>
      <c r="AI165" s="17" t="s">
        <v>77</v>
      </c>
      <c r="AJ165" s="17" t="s">
        <v>78</v>
      </c>
      <c r="AK165" s="17" t="s">
        <v>79</v>
      </c>
    </row>
    <row r="166">
      <c r="A166" s="18" t="s">
        <v>31</v>
      </c>
      <c r="B166" s="8" t="s">
        <v>30</v>
      </c>
      <c r="C166" s="8">
        <v>33.0</v>
      </c>
      <c r="D166" s="19">
        <v>0.88</v>
      </c>
      <c r="E166" s="20">
        <v>0.64</v>
      </c>
      <c r="F166" s="8">
        <v>0.005</v>
      </c>
      <c r="G166" s="21">
        <v>137.843638762</v>
      </c>
      <c r="H166" s="22">
        <f t="shared" si="1"/>
        <v>0.389</v>
      </c>
      <c r="I166" s="22">
        <f t="shared" si="2"/>
        <v>2.570694087</v>
      </c>
      <c r="J166" s="22">
        <f t="shared" si="3"/>
        <v>1.375</v>
      </c>
      <c r="K166" s="22">
        <f t="shared" si="4"/>
        <v>0.009975070394</v>
      </c>
      <c r="L166" s="22">
        <f t="shared" si="5"/>
        <v>1.27680901</v>
      </c>
      <c r="M166" s="22">
        <f t="shared" si="63"/>
        <v>0.3333333333</v>
      </c>
      <c r="N166" s="22">
        <f t="shared" si="64"/>
        <v>0.2661827933</v>
      </c>
      <c r="O166" s="22">
        <f t="shared" si="65"/>
        <v>0.4515258465</v>
      </c>
      <c r="P166" s="22">
        <f t="shared" si="9"/>
        <v>0.949637095</v>
      </c>
      <c r="AE166" s="22">
        <f t="shared" ref="AE166:AE198" si="68">E530/F530</f>
        <v>138</v>
      </c>
      <c r="AF166" s="22">
        <f t="shared" ref="AF166:AF198" si="69">E629/F629</f>
        <v>340</v>
      </c>
      <c r="AG166" s="22">
        <f t="shared" ref="AG166:AH166" si="66">100*(AQ13-AQ10)/AQ10</f>
        <v>-10</v>
      </c>
      <c r="AH166" s="22">
        <f t="shared" si="66"/>
        <v>12.5</v>
      </c>
      <c r="AI166" s="22">
        <f>100*(R14-Q14)/Q14</f>
        <v>137.7777778</v>
      </c>
      <c r="AJ166" s="22">
        <f t="shared" ref="AJ166:AK166" si="67">(2*(S14*U14))/(S14+U14)</f>
        <v>0.009948186528</v>
      </c>
      <c r="AK166" s="22">
        <f t="shared" si="67"/>
        <v>0.008847926267</v>
      </c>
    </row>
    <row r="167">
      <c r="A167" s="18" t="s">
        <v>31</v>
      </c>
      <c r="B167" s="8" t="s">
        <v>80</v>
      </c>
      <c r="C167" s="8">
        <v>1.0</v>
      </c>
      <c r="D167" s="19">
        <v>0.88</v>
      </c>
      <c r="E167" s="21">
        <v>2.47</v>
      </c>
      <c r="F167" s="8">
        <v>0.007</v>
      </c>
      <c r="G167" s="21">
        <v>209.865707067999</v>
      </c>
      <c r="H167" s="22">
        <f t="shared" si="1"/>
        <v>0.5446</v>
      </c>
      <c r="I167" s="22">
        <f t="shared" si="2"/>
        <v>1.836210062</v>
      </c>
      <c r="J167" s="22">
        <f t="shared" si="3"/>
        <v>0.3562753036</v>
      </c>
      <c r="K167" s="22">
        <f t="shared" si="4"/>
        <v>0.001697634686</v>
      </c>
      <c r="L167" s="22">
        <f t="shared" si="5"/>
        <v>0.5990225248</v>
      </c>
      <c r="M167" s="22">
        <f t="shared" si="63"/>
        <v>0.5555555556</v>
      </c>
      <c r="N167" s="22">
        <f t="shared" si="64"/>
        <v>0.5607936462</v>
      </c>
      <c r="O167" s="22">
        <f t="shared" si="65"/>
        <v>0.313968982</v>
      </c>
      <c r="P167" s="22">
        <f t="shared" si="9"/>
        <v>1.003367344</v>
      </c>
      <c r="AE167" s="22">
        <f t="shared" si="68"/>
        <v>133.3333333</v>
      </c>
      <c r="AF167" s="22">
        <f t="shared" si="69"/>
        <v>350</v>
      </c>
    </row>
    <row r="168">
      <c r="A168" s="18" t="s">
        <v>31</v>
      </c>
      <c r="B168" s="8" t="s">
        <v>80</v>
      </c>
      <c r="C168" s="8">
        <v>2.0</v>
      </c>
      <c r="D168" s="19">
        <v>0.88</v>
      </c>
      <c r="E168" s="21">
        <v>2.93</v>
      </c>
      <c r="F168" s="8">
        <v>0.008</v>
      </c>
      <c r="G168" s="21">
        <v>248.565621578</v>
      </c>
      <c r="H168" s="22">
        <f t="shared" si="1"/>
        <v>0.6224</v>
      </c>
      <c r="I168" s="22">
        <f t="shared" si="2"/>
        <v>1.606683805</v>
      </c>
      <c r="J168" s="22">
        <f t="shared" si="3"/>
        <v>0.3003412969</v>
      </c>
      <c r="K168" s="22">
        <f t="shared" si="4"/>
        <v>0.001208297813</v>
      </c>
      <c r="L168" s="22">
        <f t="shared" si="5"/>
        <v>0.442539074</v>
      </c>
      <c r="M168" s="22">
        <f t="shared" si="63"/>
        <v>0.6666666667</v>
      </c>
      <c r="N168" s="22">
        <f t="shared" si="64"/>
        <v>0.7190981088</v>
      </c>
      <c r="O168" s="22">
        <f t="shared" si="65"/>
        <v>0.2660531145</v>
      </c>
      <c r="P168" s="22">
        <f t="shared" si="9"/>
        <v>1.031458865</v>
      </c>
      <c r="AE168" s="22">
        <f t="shared" si="68"/>
        <v>128.3333333</v>
      </c>
      <c r="AF168" s="22">
        <f t="shared" si="69"/>
        <v>328</v>
      </c>
    </row>
    <row r="169">
      <c r="A169" s="18" t="s">
        <v>31</v>
      </c>
      <c r="B169" s="8" t="s">
        <v>80</v>
      </c>
      <c r="C169" s="8">
        <v>3.0</v>
      </c>
      <c r="D169" s="19">
        <v>0.88</v>
      </c>
      <c r="E169" s="21">
        <v>2.4</v>
      </c>
      <c r="F169" s="8">
        <v>0.007</v>
      </c>
      <c r="G169" s="21">
        <v>203.624852615</v>
      </c>
      <c r="H169" s="22">
        <f t="shared" si="1"/>
        <v>0.5446</v>
      </c>
      <c r="I169" s="22">
        <f t="shared" si="2"/>
        <v>1.836210062</v>
      </c>
      <c r="J169" s="22">
        <f t="shared" si="3"/>
        <v>0.3666666667</v>
      </c>
      <c r="K169" s="22">
        <f t="shared" si="4"/>
        <v>0.001800697027</v>
      </c>
      <c r="L169" s="22">
        <f t="shared" si="5"/>
        <v>0.6173818377</v>
      </c>
      <c r="M169" s="22">
        <f t="shared" si="63"/>
        <v>0.5555555556</v>
      </c>
      <c r="N169" s="22">
        <f t="shared" si="64"/>
        <v>0.535265034</v>
      </c>
      <c r="O169" s="22">
        <f t="shared" si="65"/>
        <v>0.3191897043</v>
      </c>
      <c r="P169" s="22">
        <f t="shared" si="9"/>
        <v>0.9869560933</v>
      </c>
      <c r="AE169" s="22">
        <f t="shared" si="68"/>
        <v>138.3333333</v>
      </c>
      <c r="AF169" s="22">
        <f t="shared" si="69"/>
        <v>367.5</v>
      </c>
    </row>
    <row r="170">
      <c r="A170" s="18" t="s">
        <v>31</v>
      </c>
      <c r="B170" s="8" t="s">
        <v>80</v>
      </c>
      <c r="C170" s="8">
        <v>4.0</v>
      </c>
      <c r="D170" s="19">
        <v>0.88</v>
      </c>
      <c r="E170" s="21">
        <v>3.36</v>
      </c>
      <c r="F170" s="8">
        <v>0.01</v>
      </c>
      <c r="G170" s="21">
        <v>284.342815440999</v>
      </c>
      <c r="H170" s="22">
        <f t="shared" si="1"/>
        <v>0.778</v>
      </c>
      <c r="I170" s="22">
        <f t="shared" si="2"/>
        <v>1.285347044</v>
      </c>
      <c r="J170" s="22">
        <f t="shared" si="3"/>
        <v>0.2619047619</v>
      </c>
      <c r="K170" s="22">
        <f t="shared" si="4"/>
        <v>0.0009210880236</v>
      </c>
      <c r="L170" s="22">
        <f t="shared" si="5"/>
        <v>0.3094855759</v>
      </c>
      <c r="M170" s="22">
        <f t="shared" si="63"/>
        <v>0.8888888889</v>
      </c>
      <c r="N170" s="22">
        <f t="shared" si="64"/>
        <v>0.8654469967</v>
      </c>
      <c r="O170" s="22">
        <f t="shared" si="65"/>
        <v>0.2163358198</v>
      </c>
      <c r="P170" s="22">
        <f t="shared" si="9"/>
        <v>0.9875895865</v>
      </c>
      <c r="AE170" s="22">
        <f t="shared" si="68"/>
        <v>131.6666667</v>
      </c>
      <c r="AF170" s="22">
        <f t="shared" si="69"/>
        <v>370</v>
      </c>
    </row>
    <row r="171">
      <c r="A171" s="18" t="s">
        <v>31</v>
      </c>
      <c r="B171" s="8" t="s">
        <v>80</v>
      </c>
      <c r="C171" s="8">
        <v>5.0</v>
      </c>
      <c r="D171" s="19">
        <v>0.88</v>
      </c>
      <c r="E171" s="21">
        <v>3.69</v>
      </c>
      <c r="F171" s="8">
        <v>0.011</v>
      </c>
      <c r="G171" s="21">
        <v>312.234200158</v>
      </c>
      <c r="H171" s="22">
        <f t="shared" si="1"/>
        <v>0.8558</v>
      </c>
      <c r="I171" s="22">
        <f t="shared" si="2"/>
        <v>1.168497312</v>
      </c>
      <c r="J171" s="22">
        <f t="shared" si="3"/>
        <v>0.2384823848</v>
      </c>
      <c r="K171" s="22">
        <f t="shared" si="4"/>
        <v>0.0007637932831</v>
      </c>
      <c r="L171" s="22">
        <f t="shared" si="5"/>
        <v>0.2562179286</v>
      </c>
      <c r="M171" s="22">
        <f t="shared" si="63"/>
        <v>1</v>
      </c>
      <c r="N171" s="22">
        <f t="shared" si="64"/>
        <v>0.9795384805</v>
      </c>
      <c r="O171" s="22">
        <f t="shared" si="65"/>
        <v>0.1925412626</v>
      </c>
      <c r="P171" s="22">
        <f t="shared" si="9"/>
        <v>0.9897692403</v>
      </c>
      <c r="AE171" s="22">
        <f t="shared" si="68"/>
        <v>155</v>
      </c>
      <c r="AF171" s="22">
        <f t="shared" si="69"/>
        <v>326</v>
      </c>
    </row>
    <row r="172">
      <c r="A172" s="18" t="s">
        <v>31</v>
      </c>
      <c r="B172" s="8" t="s">
        <v>80</v>
      </c>
      <c r="C172" s="8">
        <v>6.0</v>
      </c>
      <c r="D172" s="19">
        <v>0.88</v>
      </c>
      <c r="E172" s="21">
        <v>2.71</v>
      </c>
      <c r="F172" s="8">
        <v>0.008</v>
      </c>
      <c r="G172" s="21">
        <v>229.81658624</v>
      </c>
      <c r="H172" s="22">
        <f t="shared" si="1"/>
        <v>0.6224</v>
      </c>
      <c r="I172" s="22">
        <f t="shared" si="2"/>
        <v>1.606683805</v>
      </c>
      <c r="J172" s="22">
        <f t="shared" si="3"/>
        <v>0.3247232472</v>
      </c>
      <c r="K172" s="22">
        <f t="shared" si="4"/>
        <v>0.001412966977</v>
      </c>
      <c r="L172" s="22">
        <f t="shared" si="5"/>
        <v>0.4786425636</v>
      </c>
      <c r="M172" s="22">
        <f t="shared" si="63"/>
        <v>0.6666666667</v>
      </c>
      <c r="N172" s="22">
        <f t="shared" si="64"/>
        <v>0.6424039869</v>
      </c>
      <c r="O172" s="22">
        <f t="shared" si="65"/>
        <v>0.2784767997</v>
      </c>
      <c r="P172" s="22">
        <f t="shared" si="9"/>
        <v>0.9854423921</v>
      </c>
      <c r="AE172" s="22">
        <f t="shared" si="68"/>
        <v>141.6666667</v>
      </c>
      <c r="AF172" s="22">
        <f t="shared" si="69"/>
        <v>340</v>
      </c>
    </row>
    <row r="173">
      <c r="A173" s="18" t="s">
        <v>31</v>
      </c>
      <c r="B173" s="8" t="s">
        <v>80</v>
      </c>
      <c r="C173" s="8">
        <v>7.0</v>
      </c>
      <c r="D173" s="19">
        <v>0.88</v>
      </c>
      <c r="E173" s="21">
        <v>3.18</v>
      </c>
      <c r="F173" s="8">
        <v>0.009</v>
      </c>
      <c r="G173" s="21">
        <v>269.355978728999</v>
      </c>
      <c r="H173" s="22">
        <f t="shared" si="1"/>
        <v>0.7002</v>
      </c>
      <c r="I173" s="22">
        <f t="shared" si="2"/>
        <v>1.428163382</v>
      </c>
      <c r="J173" s="22">
        <f t="shared" si="3"/>
        <v>0.2767295597</v>
      </c>
      <c r="K173" s="22">
        <f t="shared" si="4"/>
        <v>0.001027374856</v>
      </c>
      <c r="L173" s="22">
        <f t="shared" si="5"/>
        <v>0.3630057823</v>
      </c>
      <c r="M173" s="22">
        <f t="shared" si="63"/>
        <v>0.7777777778</v>
      </c>
      <c r="N173" s="22">
        <f t="shared" si="64"/>
        <v>0.8041423876</v>
      </c>
      <c r="O173" s="22">
        <f t="shared" si="65"/>
        <v>0.2376673239</v>
      </c>
      <c r="P173" s="22">
        <f t="shared" si="9"/>
        <v>1.014830093</v>
      </c>
      <c r="AE173" s="22">
        <f t="shared" si="68"/>
        <v>132.5</v>
      </c>
      <c r="AF173" s="22">
        <f t="shared" si="69"/>
        <v>350</v>
      </c>
    </row>
    <row r="174">
      <c r="A174" s="18" t="s">
        <v>31</v>
      </c>
      <c r="B174" s="8" t="s">
        <v>80</v>
      </c>
      <c r="C174" s="8">
        <v>8.0</v>
      </c>
      <c r="D174" s="19">
        <v>0.88</v>
      </c>
      <c r="E174" s="21">
        <v>3.47</v>
      </c>
      <c r="F174" s="8">
        <v>0.01</v>
      </c>
      <c r="G174" s="21">
        <v>293.879880904999</v>
      </c>
      <c r="H174" s="22">
        <f t="shared" si="1"/>
        <v>0.778</v>
      </c>
      <c r="I174" s="22">
        <f t="shared" si="2"/>
        <v>1.285347044</v>
      </c>
      <c r="J174" s="22">
        <f t="shared" si="3"/>
        <v>0.2536023055</v>
      </c>
      <c r="K174" s="22">
        <f t="shared" si="4"/>
        <v>0.000862945448</v>
      </c>
      <c r="L174" s="22">
        <f t="shared" si="5"/>
        <v>0.2994420704</v>
      </c>
      <c r="M174" s="22">
        <f t="shared" si="63"/>
        <v>0.8888888889</v>
      </c>
      <c r="N174" s="22">
        <f t="shared" si="64"/>
        <v>0.9044589698</v>
      </c>
      <c r="O174" s="22">
        <f t="shared" si="65"/>
        <v>0.2119042792</v>
      </c>
      <c r="P174" s="22">
        <f t="shared" si="9"/>
        <v>1.008242984</v>
      </c>
      <c r="AE174" s="22">
        <f t="shared" si="68"/>
        <v>135</v>
      </c>
      <c r="AF174" s="22">
        <f t="shared" si="69"/>
        <v>316</v>
      </c>
    </row>
    <row r="175">
      <c r="A175" s="18" t="s">
        <v>31</v>
      </c>
      <c r="B175" s="8" t="s">
        <v>80</v>
      </c>
      <c r="C175" s="8">
        <v>9.0</v>
      </c>
      <c r="D175" s="19">
        <v>0.88</v>
      </c>
      <c r="E175" s="21">
        <v>2.06</v>
      </c>
      <c r="F175" s="8">
        <v>0.006</v>
      </c>
      <c r="G175" s="21">
        <v>174.229821478999</v>
      </c>
      <c r="H175" s="22">
        <f t="shared" si="1"/>
        <v>0.4668</v>
      </c>
      <c r="I175" s="22">
        <f t="shared" si="2"/>
        <v>2.142245073</v>
      </c>
      <c r="J175" s="22">
        <f t="shared" si="3"/>
        <v>0.427184466</v>
      </c>
      <c r="K175" s="22">
        <f t="shared" si="4"/>
        <v>0.002451844709</v>
      </c>
      <c r="L175" s="22">
        <f t="shared" si="5"/>
        <v>0.8418000169</v>
      </c>
      <c r="M175" s="22">
        <f t="shared" si="63"/>
        <v>0.4444444444</v>
      </c>
      <c r="N175" s="22">
        <f t="shared" si="64"/>
        <v>0.4150227888</v>
      </c>
      <c r="O175" s="22">
        <f t="shared" si="65"/>
        <v>0.3729524654</v>
      </c>
      <c r="P175" s="22">
        <f t="shared" si="9"/>
        <v>0.9796311615</v>
      </c>
      <c r="AE175" s="22">
        <f t="shared" si="68"/>
        <v>148</v>
      </c>
      <c r="AF175" s="22">
        <f t="shared" si="69"/>
        <v>332</v>
      </c>
    </row>
    <row r="176">
      <c r="A176" s="18" t="s">
        <v>31</v>
      </c>
      <c r="B176" s="8" t="s">
        <v>80</v>
      </c>
      <c r="C176" s="8">
        <v>10.0</v>
      </c>
      <c r="D176" s="19">
        <v>0.88</v>
      </c>
      <c r="E176" s="21">
        <v>2.36</v>
      </c>
      <c r="F176" s="8">
        <v>0.007</v>
      </c>
      <c r="G176" s="21">
        <v>199.580960313</v>
      </c>
      <c r="H176" s="22">
        <f t="shared" si="1"/>
        <v>0.5446</v>
      </c>
      <c r="I176" s="22">
        <f t="shared" si="2"/>
        <v>1.836210062</v>
      </c>
      <c r="J176" s="22">
        <f t="shared" si="3"/>
        <v>0.3728813559</v>
      </c>
      <c r="K176" s="22">
        <f t="shared" si="4"/>
        <v>0.001868321283</v>
      </c>
      <c r="L176" s="22">
        <f t="shared" si="5"/>
        <v>0.6298911756</v>
      </c>
      <c r="M176" s="22">
        <f t="shared" si="63"/>
        <v>0.5555555556</v>
      </c>
      <c r="N176" s="22">
        <f t="shared" si="64"/>
        <v>0.5187232352</v>
      </c>
      <c r="O176" s="22">
        <f t="shared" si="65"/>
        <v>0.3226662902</v>
      </c>
      <c r="P176" s="22">
        <f t="shared" si="9"/>
        <v>0.9763220798</v>
      </c>
      <c r="AE176" s="22">
        <f t="shared" si="68"/>
        <v>150</v>
      </c>
      <c r="AF176" s="22">
        <f t="shared" si="69"/>
        <v>340</v>
      </c>
    </row>
    <row r="177">
      <c r="A177" s="18" t="s">
        <v>31</v>
      </c>
      <c r="B177" s="8" t="s">
        <v>80</v>
      </c>
      <c r="C177" s="8">
        <v>11.0</v>
      </c>
      <c r="D177" s="19">
        <v>0.88</v>
      </c>
      <c r="E177" s="21">
        <v>2.2</v>
      </c>
      <c r="F177" s="8">
        <v>0.006</v>
      </c>
      <c r="G177" s="21">
        <v>187.407365254999</v>
      </c>
      <c r="H177" s="22">
        <f t="shared" si="1"/>
        <v>0.4668</v>
      </c>
      <c r="I177" s="22">
        <f t="shared" si="2"/>
        <v>2.142245073</v>
      </c>
      <c r="J177" s="22">
        <f t="shared" si="3"/>
        <v>0.4</v>
      </c>
      <c r="K177" s="22">
        <f t="shared" si="4"/>
        <v>0.002134387832</v>
      </c>
      <c r="L177" s="22">
        <f t="shared" si="5"/>
        <v>0.7826088717</v>
      </c>
      <c r="M177" s="22">
        <f t="shared" si="63"/>
        <v>0.4444444444</v>
      </c>
      <c r="N177" s="22">
        <f t="shared" si="64"/>
        <v>0.4689263701</v>
      </c>
      <c r="O177" s="22">
        <f t="shared" si="65"/>
        <v>0.3592666375</v>
      </c>
      <c r="P177" s="22">
        <f t="shared" si="9"/>
        <v>1.016949025</v>
      </c>
      <c r="AE177" s="22">
        <f t="shared" si="68"/>
        <v>127.5</v>
      </c>
      <c r="AF177" s="22">
        <f t="shared" si="69"/>
        <v>325</v>
      </c>
    </row>
    <row r="178">
      <c r="A178" s="18" t="s">
        <v>31</v>
      </c>
      <c r="B178" s="8" t="s">
        <v>80</v>
      </c>
      <c r="C178" s="8">
        <v>12.0</v>
      </c>
      <c r="D178" s="19">
        <v>0.88</v>
      </c>
      <c r="E178" s="21">
        <v>2.82</v>
      </c>
      <c r="F178" s="8">
        <v>0.008</v>
      </c>
      <c r="G178" s="21">
        <v>238.758918771999</v>
      </c>
      <c r="H178" s="22">
        <f t="shared" si="1"/>
        <v>0.6224</v>
      </c>
      <c r="I178" s="22">
        <f t="shared" si="2"/>
        <v>1.606683805</v>
      </c>
      <c r="J178" s="22">
        <f t="shared" si="3"/>
        <v>0.3120567376</v>
      </c>
      <c r="K178" s="22">
        <f t="shared" si="4"/>
        <v>0.001306995103</v>
      </c>
      <c r="L178" s="22">
        <f t="shared" si="5"/>
        <v>0.4607157737</v>
      </c>
      <c r="M178" s="22">
        <f t="shared" si="63"/>
        <v>0.6666666667</v>
      </c>
      <c r="N178" s="22">
        <f t="shared" si="64"/>
        <v>0.6789831671</v>
      </c>
      <c r="O178" s="22">
        <f t="shared" si="65"/>
        <v>0.2724097627</v>
      </c>
      <c r="P178" s="22">
        <f t="shared" si="9"/>
        <v>1.0073899</v>
      </c>
      <c r="AE178" s="22">
        <f t="shared" si="68"/>
        <v>148</v>
      </c>
      <c r="AF178" s="22">
        <f t="shared" si="69"/>
        <v>362.5</v>
      </c>
    </row>
    <row r="179">
      <c r="A179" s="18" t="s">
        <v>31</v>
      </c>
      <c r="B179" s="8" t="s">
        <v>80</v>
      </c>
      <c r="C179" s="8">
        <v>13.0</v>
      </c>
      <c r="D179" s="19">
        <v>0.88</v>
      </c>
      <c r="E179" s="21">
        <v>2.87</v>
      </c>
      <c r="F179" s="8">
        <v>0.008</v>
      </c>
      <c r="G179" s="21">
        <v>243.086193625999</v>
      </c>
      <c r="H179" s="22">
        <f t="shared" si="1"/>
        <v>0.6224</v>
      </c>
      <c r="I179" s="22">
        <f t="shared" si="2"/>
        <v>1.606683805</v>
      </c>
      <c r="J179" s="22">
        <f t="shared" si="3"/>
        <v>0.3066202091</v>
      </c>
      <c r="K179" s="22">
        <f t="shared" si="4"/>
        <v>0.001261364146</v>
      </c>
      <c r="L179" s="22">
        <f t="shared" si="5"/>
        <v>0.4525143874</v>
      </c>
      <c r="M179" s="22">
        <f t="shared" si="63"/>
        <v>0.6666666667</v>
      </c>
      <c r="N179" s="22">
        <f t="shared" si="64"/>
        <v>0.6966841602</v>
      </c>
      <c r="O179" s="22">
        <f t="shared" si="65"/>
        <v>0.2695677939</v>
      </c>
      <c r="P179" s="22">
        <f t="shared" si="9"/>
        <v>1.018010496</v>
      </c>
      <c r="AE179" s="22">
        <f t="shared" si="68"/>
        <v>131.6666667</v>
      </c>
      <c r="AF179" s="22">
        <f t="shared" si="69"/>
        <v>374</v>
      </c>
    </row>
    <row r="180">
      <c r="A180" s="18" t="s">
        <v>31</v>
      </c>
      <c r="B180" s="8" t="s">
        <v>80</v>
      </c>
      <c r="C180" s="8">
        <v>14.0</v>
      </c>
      <c r="D180" s="19">
        <v>0.88</v>
      </c>
      <c r="E180" s="21">
        <v>2.76</v>
      </c>
      <c r="F180" s="8">
        <v>0.008</v>
      </c>
      <c r="G180" s="21">
        <v>233.411647674</v>
      </c>
      <c r="H180" s="22">
        <f t="shared" si="1"/>
        <v>0.6224</v>
      </c>
      <c r="I180" s="22">
        <f t="shared" si="2"/>
        <v>1.606683805</v>
      </c>
      <c r="J180" s="22">
        <f t="shared" si="3"/>
        <v>0.3188405797</v>
      </c>
      <c r="K180" s="22">
        <f t="shared" si="4"/>
        <v>0.001366001152</v>
      </c>
      <c r="L180" s="22">
        <f t="shared" si="5"/>
        <v>0.4712703976</v>
      </c>
      <c r="M180" s="22">
        <f t="shared" si="63"/>
        <v>0.6666666667</v>
      </c>
      <c r="N180" s="22">
        <f t="shared" si="64"/>
        <v>0.6571098144</v>
      </c>
      <c r="O180" s="22">
        <f t="shared" si="65"/>
        <v>0.2760054899</v>
      </c>
      <c r="P180" s="22">
        <f t="shared" si="9"/>
        <v>0.9942658886</v>
      </c>
      <c r="AE180" s="22">
        <f t="shared" si="68"/>
        <v>128.3333333</v>
      </c>
      <c r="AF180" s="22">
        <f t="shared" si="69"/>
        <v>352</v>
      </c>
    </row>
    <row r="181">
      <c r="A181" s="18" t="s">
        <v>31</v>
      </c>
      <c r="B181" s="8" t="s">
        <v>80</v>
      </c>
      <c r="C181" s="8">
        <v>15.0</v>
      </c>
      <c r="D181" s="19">
        <v>0.88</v>
      </c>
      <c r="E181" s="21">
        <v>2.83</v>
      </c>
      <c r="F181" s="8">
        <v>0.008</v>
      </c>
      <c r="G181" s="21">
        <v>239.840279166</v>
      </c>
      <c r="H181" s="22">
        <f t="shared" si="1"/>
        <v>0.6224</v>
      </c>
      <c r="I181" s="22">
        <f t="shared" si="2"/>
        <v>1.606683805</v>
      </c>
      <c r="J181" s="22">
        <f t="shared" si="3"/>
        <v>0.3109540636</v>
      </c>
      <c r="K181" s="22">
        <f t="shared" si="4"/>
        <v>0.00129650476</v>
      </c>
      <c r="L181" s="22">
        <f t="shared" si="5"/>
        <v>0.4586385589</v>
      </c>
      <c r="M181" s="22">
        <f t="shared" si="63"/>
        <v>0.6666666667</v>
      </c>
      <c r="N181" s="22">
        <f t="shared" si="64"/>
        <v>0.6834065406</v>
      </c>
      <c r="O181" s="22">
        <f t="shared" si="65"/>
        <v>0.27169397</v>
      </c>
      <c r="P181" s="22">
        <f t="shared" si="9"/>
        <v>1.010043924</v>
      </c>
      <c r="AE181" s="22">
        <f t="shared" si="68"/>
        <v>126.6666667</v>
      </c>
      <c r="AF181" s="22">
        <f t="shared" si="69"/>
        <v>345</v>
      </c>
    </row>
    <row r="182">
      <c r="A182" s="18" t="s">
        <v>31</v>
      </c>
      <c r="B182" s="8" t="s">
        <v>80</v>
      </c>
      <c r="C182" s="8">
        <v>16.0</v>
      </c>
      <c r="D182" s="19">
        <v>0.88</v>
      </c>
      <c r="E182" s="21">
        <v>2.97</v>
      </c>
      <c r="F182" s="8">
        <v>0.009</v>
      </c>
      <c r="G182" s="21">
        <v>251.346821332</v>
      </c>
      <c r="H182" s="22">
        <f t="shared" si="1"/>
        <v>0.7002</v>
      </c>
      <c r="I182" s="22">
        <f t="shared" si="2"/>
        <v>1.428163382</v>
      </c>
      <c r="J182" s="22">
        <f t="shared" si="3"/>
        <v>0.2962962963</v>
      </c>
      <c r="K182" s="22">
        <f t="shared" si="4"/>
        <v>0.001178834468</v>
      </c>
      <c r="L182" s="22">
        <f t="shared" si="5"/>
        <v>0.3890153743</v>
      </c>
      <c r="M182" s="22">
        <f t="shared" si="63"/>
        <v>0.7777777778</v>
      </c>
      <c r="N182" s="22">
        <f t="shared" si="64"/>
        <v>0.7304747834</v>
      </c>
      <c r="O182" s="22">
        <f t="shared" si="65"/>
        <v>0.2477849994</v>
      </c>
      <c r="P182" s="22">
        <f t="shared" si="9"/>
        <v>0.9733920657</v>
      </c>
      <c r="AE182" s="22">
        <f t="shared" si="68"/>
        <v>130</v>
      </c>
      <c r="AF182" s="22">
        <f t="shared" si="69"/>
        <v>362</v>
      </c>
    </row>
    <row r="183">
      <c r="A183" s="18" t="s">
        <v>31</v>
      </c>
      <c r="B183" s="8" t="s">
        <v>80</v>
      </c>
      <c r="C183" s="8">
        <v>17.0</v>
      </c>
      <c r="D183" s="19">
        <v>0.88</v>
      </c>
      <c r="E183" s="21">
        <v>2.78</v>
      </c>
      <c r="F183" s="8">
        <v>0.008</v>
      </c>
      <c r="G183" s="21">
        <v>235.424721454999</v>
      </c>
      <c r="H183" s="22">
        <f t="shared" si="1"/>
        <v>0.6224</v>
      </c>
      <c r="I183" s="22">
        <f t="shared" si="2"/>
        <v>1.606683805</v>
      </c>
      <c r="J183" s="22">
        <f t="shared" si="3"/>
        <v>0.3165467626</v>
      </c>
      <c r="K183" s="22">
        <f t="shared" si="4"/>
        <v>0.001344577412</v>
      </c>
      <c r="L183" s="22">
        <f t="shared" si="5"/>
        <v>0.4672406505</v>
      </c>
      <c r="M183" s="22">
        <f t="shared" si="63"/>
        <v>0.6666666667</v>
      </c>
      <c r="N183" s="22">
        <f t="shared" si="64"/>
        <v>0.6653444208</v>
      </c>
      <c r="O183" s="22">
        <f t="shared" si="65"/>
        <v>0.2746407292</v>
      </c>
      <c r="P183" s="22">
        <f t="shared" si="9"/>
        <v>0.9992066525</v>
      </c>
      <c r="AE183" s="22">
        <f t="shared" si="68"/>
        <v>140</v>
      </c>
      <c r="AF183" s="22">
        <f t="shared" si="69"/>
        <v>330</v>
      </c>
    </row>
    <row r="184">
      <c r="A184" s="18" t="s">
        <v>31</v>
      </c>
      <c r="B184" s="8" t="s">
        <v>80</v>
      </c>
      <c r="C184" s="8">
        <v>18.0</v>
      </c>
      <c r="D184" s="19">
        <v>0.88</v>
      </c>
      <c r="E184" s="21">
        <v>2.51</v>
      </c>
      <c r="F184" s="8">
        <v>0.007</v>
      </c>
      <c r="G184" s="21">
        <v>212.369627168</v>
      </c>
      <c r="H184" s="22">
        <f t="shared" si="1"/>
        <v>0.5446</v>
      </c>
      <c r="I184" s="22">
        <f t="shared" si="2"/>
        <v>1.836210062</v>
      </c>
      <c r="J184" s="22">
        <f t="shared" si="3"/>
        <v>0.3505976096</v>
      </c>
      <c r="K184" s="22">
        <f t="shared" si="4"/>
        <v>0.001650883953</v>
      </c>
      <c r="L184" s="22">
        <f t="shared" si="5"/>
        <v>0.5919598174</v>
      </c>
      <c r="M184" s="22">
        <f t="shared" si="63"/>
        <v>0.5555555556</v>
      </c>
      <c r="N184" s="22">
        <f t="shared" si="64"/>
        <v>0.5710360907</v>
      </c>
      <c r="O184" s="22">
        <f t="shared" si="65"/>
        <v>0.3119220463</v>
      </c>
      <c r="P184" s="22">
        <f t="shared" si="9"/>
        <v>1.009951773</v>
      </c>
      <c r="AE184" s="22">
        <f t="shared" si="68"/>
        <v>147.5</v>
      </c>
      <c r="AF184" s="22">
        <f t="shared" si="69"/>
        <v>325</v>
      </c>
    </row>
    <row r="185">
      <c r="A185" s="18" t="s">
        <v>31</v>
      </c>
      <c r="B185" s="8" t="s">
        <v>80</v>
      </c>
      <c r="C185" s="8">
        <v>19.0</v>
      </c>
      <c r="D185" s="19">
        <v>0.88</v>
      </c>
      <c r="E185" s="21">
        <v>2.83</v>
      </c>
      <c r="F185" s="8">
        <v>0.008</v>
      </c>
      <c r="G185" s="21">
        <v>239.572603706</v>
      </c>
      <c r="H185" s="22">
        <f t="shared" si="1"/>
        <v>0.6224</v>
      </c>
      <c r="I185" s="22">
        <f t="shared" si="2"/>
        <v>1.606683805</v>
      </c>
      <c r="J185" s="22">
        <f t="shared" si="3"/>
        <v>0.3109540636</v>
      </c>
      <c r="K185" s="22">
        <f t="shared" si="4"/>
        <v>0.00129795335</v>
      </c>
      <c r="L185" s="22">
        <f t="shared" si="5"/>
        <v>0.4591509976</v>
      </c>
      <c r="M185" s="22">
        <f t="shared" si="63"/>
        <v>0.6666666667</v>
      </c>
      <c r="N185" s="22">
        <f t="shared" si="64"/>
        <v>0.6823115971</v>
      </c>
      <c r="O185" s="22">
        <f t="shared" si="65"/>
        <v>0.2718708038</v>
      </c>
      <c r="P185" s="22">
        <f t="shared" si="9"/>
        <v>1.009386958</v>
      </c>
      <c r="AE185" s="22">
        <f t="shared" si="68"/>
        <v>150</v>
      </c>
      <c r="AF185" s="22">
        <f t="shared" si="69"/>
        <v>336</v>
      </c>
    </row>
    <row r="186">
      <c r="A186" s="18" t="s">
        <v>31</v>
      </c>
      <c r="B186" s="8" t="s">
        <v>80</v>
      </c>
      <c r="C186" s="8">
        <v>20.0</v>
      </c>
      <c r="D186" s="19">
        <v>0.88</v>
      </c>
      <c r="E186" s="21">
        <v>2.06</v>
      </c>
      <c r="F186" s="8">
        <v>0.006</v>
      </c>
      <c r="G186" s="21">
        <v>174.666374453999</v>
      </c>
      <c r="H186" s="22">
        <f t="shared" si="1"/>
        <v>0.4668</v>
      </c>
      <c r="I186" s="22">
        <f t="shared" si="2"/>
        <v>2.142245073</v>
      </c>
      <c r="J186" s="22">
        <f t="shared" si="3"/>
        <v>0.427184466</v>
      </c>
      <c r="K186" s="22">
        <f t="shared" si="4"/>
        <v>0.002445716683</v>
      </c>
      <c r="L186" s="22">
        <f t="shared" si="5"/>
        <v>0.8396960613</v>
      </c>
      <c r="M186" s="22">
        <f t="shared" si="63"/>
        <v>0.4444444444</v>
      </c>
      <c r="N186" s="22">
        <f t="shared" si="64"/>
        <v>0.4168085366</v>
      </c>
      <c r="O186" s="22">
        <f t="shared" si="65"/>
        <v>0.3724823956</v>
      </c>
      <c r="P186" s="22">
        <f t="shared" si="9"/>
        <v>0.9808674484</v>
      </c>
      <c r="AE186" s="22">
        <f t="shared" si="68"/>
        <v>148</v>
      </c>
      <c r="AF186" s="22">
        <f t="shared" si="69"/>
        <v>322</v>
      </c>
    </row>
    <row r="187">
      <c r="A187" s="18" t="s">
        <v>31</v>
      </c>
      <c r="B187" s="8" t="s">
        <v>80</v>
      </c>
      <c r="C187" s="8">
        <v>21.0</v>
      </c>
      <c r="D187" s="19">
        <v>0.88</v>
      </c>
      <c r="E187" s="21">
        <v>2.39</v>
      </c>
      <c r="F187" s="8">
        <v>0.007</v>
      </c>
      <c r="G187" s="21">
        <v>202.520064555</v>
      </c>
      <c r="H187" s="22">
        <f t="shared" si="1"/>
        <v>0.5446</v>
      </c>
      <c r="I187" s="22">
        <f t="shared" si="2"/>
        <v>1.836210062</v>
      </c>
      <c r="J187" s="22">
        <f t="shared" si="3"/>
        <v>0.3682008368</v>
      </c>
      <c r="K187" s="22">
        <f t="shared" si="4"/>
        <v>0.001818095593</v>
      </c>
      <c r="L187" s="22">
        <f t="shared" si="5"/>
        <v>0.620749781</v>
      </c>
      <c r="M187" s="22">
        <f t="shared" si="63"/>
        <v>0.5555555556</v>
      </c>
      <c r="N187" s="22">
        <f t="shared" si="64"/>
        <v>0.5307458281</v>
      </c>
      <c r="O187" s="22">
        <f t="shared" si="65"/>
        <v>0.3201320449</v>
      </c>
      <c r="P187" s="22">
        <f t="shared" si="9"/>
        <v>0.9840508895</v>
      </c>
      <c r="AE187" s="22">
        <f t="shared" si="68"/>
        <v>146.6666667</v>
      </c>
      <c r="AF187" s="22">
        <f t="shared" si="69"/>
        <v>332</v>
      </c>
    </row>
    <row r="188">
      <c r="A188" s="18" t="s">
        <v>31</v>
      </c>
      <c r="B188" s="8" t="s">
        <v>80</v>
      </c>
      <c r="C188" s="8">
        <v>22.0</v>
      </c>
      <c r="D188" s="19">
        <v>0.88</v>
      </c>
      <c r="E188" s="21">
        <v>3.11</v>
      </c>
      <c r="F188" s="8">
        <v>0.009</v>
      </c>
      <c r="G188" s="21">
        <v>263.188833927999</v>
      </c>
      <c r="H188" s="22">
        <f t="shared" si="1"/>
        <v>0.7002</v>
      </c>
      <c r="I188" s="22">
        <f t="shared" si="2"/>
        <v>1.428163382</v>
      </c>
      <c r="J188" s="22">
        <f t="shared" si="3"/>
        <v>0.2829581994</v>
      </c>
      <c r="K188" s="22">
        <f t="shared" si="4"/>
        <v>0.001075114757</v>
      </c>
      <c r="L188" s="22">
        <f t="shared" si="5"/>
        <v>0.3715118773</v>
      </c>
      <c r="M188" s="22">
        <f t="shared" si="63"/>
        <v>0.7777777778</v>
      </c>
      <c r="N188" s="22">
        <f t="shared" si="64"/>
        <v>0.7789152894</v>
      </c>
      <c r="O188" s="22">
        <f t="shared" si="65"/>
        <v>0.2410377244</v>
      </c>
      <c r="P188" s="22">
        <f t="shared" si="9"/>
        <v>1.00063985</v>
      </c>
      <c r="AE188" s="22">
        <f t="shared" si="68"/>
        <v>141.6666667</v>
      </c>
      <c r="AF188" s="22">
        <f t="shared" si="69"/>
        <v>341.4285714</v>
      </c>
    </row>
    <row r="189">
      <c r="A189" s="18" t="s">
        <v>31</v>
      </c>
      <c r="B189" s="8" t="s">
        <v>80</v>
      </c>
      <c r="C189" s="8">
        <v>23.0</v>
      </c>
      <c r="D189" s="19">
        <v>0.88</v>
      </c>
      <c r="E189" s="21">
        <v>2.46</v>
      </c>
      <c r="F189" s="8">
        <v>0.007</v>
      </c>
      <c r="G189" s="21">
        <v>208.611775598999</v>
      </c>
      <c r="H189" s="22">
        <f t="shared" si="1"/>
        <v>0.5446</v>
      </c>
      <c r="I189" s="22">
        <f t="shared" si="2"/>
        <v>1.836210062</v>
      </c>
      <c r="J189" s="22">
        <f t="shared" si="3"/>
        <v>0.3577235772</v>
      </c>
      <c r="K189" s="22">
        <f t="shared" si="4"/>
        <v>0.001714781326</v>
      </c>
      <c r="L189" s="22">
        <f t="shared" si="5"/>
        <v>0.6026231518</v>
      </c>
      <c r="M189" s="22">
        <f t="shared" si="63"/>
        <v>0.5555555556</v>
      </c>
      <c r="N189" s="22">
        <f t="shared" si="64"/>
        <v>0.5556643598</v>
      </c>
      <c r="O189" s="22">
        <f t="shared" si="65"/>
        <v>0.3150041904</v>
      </c>
      <c r="P189" s="22">
        <f t="shared" si="9"/>
        <v>1.000069946</v>
      </c>
      <c r="AE189" s="22">
        <f t="shared" si="68"/>
        <v>130</v>
      </c>
      <c r="AF189" s="22">
        <f t="shared" si="69"/>
        <v>376.6666667</v>
      </c>
    </row>
    <row r="190">
      <c r="A190" s="18" t="s">
        <v>31</v>
      </c>
      <c r="B190" s="8" t="s">
        <v>80</v>
      </c>
      <c r="C190" s="8">
        <v>24.0</v>
      </c>
      <c r="D190" s="19">
        <v>0.88</v>
      </c>
      <c r="E190" s="21">
        <v>2.88</v>
      </c>
      <c r="F190" s="8">
        <v>0.008</v>
      </c>
      <c r="G190" s="21">
        <v>243.933109081</v>
      </c>
      <c r="H190" s="22">
        <f t="shared" si="1"/>
        <v>0.6224</v>
      </c>
      <c r="I190" s="22">
        <f t="shared" si="2"/>
        <v>1.606683805</v>
      </c>
      <c r="J190" s="22">
        <f t="shared" si="3"/>
        <v>0.3055555556</v>
      </c>
      <c r="K190" s="22">
        <f t="shared" si="4"/>
        <v>0.001252620264</v>
      </c>
      <c r="L190" s="22">
        <f t="shared" si="5"/>
        <v>0.4509432951</v>
      </c>
      <c r="M190" s="22">
        <f t="shared" si="63"/>
        <v>0.6666666667</v>
      </c>
      <c r="N190" s="22">
        <f t="shared" si="64"/>
        <v>0.7001485217</v>
      </c>
      <c r="O190" s="22">
        <f t="shared" si="65"/>
        <v>0.2690185006</v>
      </c>
      <c r="P190" s="22">
        <f t="shared" si="9"/>
        <v>1.020089113</v>
      </c>
      <c r="AE190" s="22">
        <f t="shared" si="68"/>
        <v>144.2857143</v>
      </c>
      <c r="AF190" s="22">
        <f t="shared" si="69"/>
        <v>325</v>
      </c>
    </row>
    <row r="191">
      <c r="A191" s="18" t="s">
        <v>31</v>
      </c>
      <c r="B191" s="8" t="s">
        <v>80</v>
      </c>
      <c r="C191" s="8">
        <v>25.0</v>
      </c>
      <c r="D191" s="19">
        <v>0.88</v>
      </c>
      <c r="E191" s="21">
        <v>3.75</v>
      </c>
      <c r="F191" s="8">
        <v>0.011</v>
      </c>
      <c r="G191" s="21">
        <v>317.236327332999</v>
      </c>
      <c r="H191" s="22">
        <f t="shared" si="1"/>
        <v>0.8558</v>
      </c>
      <c r="I191" s="22">
        <f t="shared" si="2"/>
        <v>1.168497312</v>
      </c>
      <c r="J191" s="22">
        <f t="shared" si="3"/>
        <v>0.2346666667</v>
      </c>
      <c r="K191" s="22">
        <f t="shared" si="4"/>
        <v>0.0007397219248</v>
      </c>
      <c r="L191" s="22">
        <f t="shared" si="5"/>
        <v>0.2521779289</v>
      </c>
      <c r="M191" s="22">
        <f t="shared" si="63"/>
        <v>1</v>
      </c>
      <c r="N191" s="22">
        <f t="shared" si="64"/>
        <v>1</v>
      </c>
      <c r="O191" s="22">
        <f t="shared" si="65"/>
        <v>0.1905714192</v>
      </c>
      <c r="P191" s="22">
        <f t="shared" si="9"/>
        <v>1</v>
      </c>
      <c r="AE191" s="22">
        <f t="shared" si="68"/>
        <v>138.3333333</v>
      </c>
      <c r="AF191" s="22">
        <f t="shared" si="69"/>
        <v>323.3333333</v>
      </c>
    </row>
    <row r="192">
      <c r="A192" s="18" t="s">
        <v>31</v>
      </c>
      <c r="B192" s="8" t="s">
        <v>80</v>
      </c>
      <c r="C192" s="8">
        <v>26.0</v>
      </c>
      <c r="D192" s="19">
        <v>0.88</v>
      </c>
      <c r="E192" s="21">
        <v>2.89</v>
      </c>
      <c r="F192" s="8">
        <v>0.008</v>
      </c>
      <c r="G192" s="21">
        <v>244.935903611</v>
      </c>
      <c r="H192" s="22">
        <f t="shared" si="1"/>
        <v>0.6224</v>
      </c>
      <c r="I192" s="22">
        <f t="shared" si="2"/>
        <v>1.606683805</v>
      </c>
      <c r="J192" s="22">
        <f t="shared" si="3"/>
        <v>0.3044982699</v>
      </c>
      <c r="K192" s="22">
        <f t="shared" si="4"/>
        <v>0.001243175318</v>
      </c>
      <c r="L192" s="22">
        <f t="shared" si="5"/>
        <v>0.4490970837</v>
      </c>
      <c r="M192" s="22">
        <f t="shared" si="63"/>
        <v>0.6666666667</v>
      </c>
      <c r="N192" s="22">
        <f t="shared" si="64"/>
        <v>0.7042505166</v>
      </c>
      <c r="O192" s="22">
        <f t="shared" si="65"/>
        <v>0.2683709945</v>
      </c>
      <c r="P192" s="22">
        <f t="shared" si="9"/>
        <v>1.02255031</v>
      </c>
      <c r="AE192" s="22">
        <f t="shared" si="68"/>
        <v>132</v>
      </c>
      <c r="AF192" s="22">
        <f t="shared" si="69"/>
        <v>316</v>
      </c>
    </row>
    <row r="193">
      <c r="A193" s="18" t="s">
        <v>31</v>
      </c>
      <c r="B193" s="8" t="s">
        <v>80</v>
      </c>
      <c r="C193" s="8">
        <v>27.0</v>
      </c>
      <c r="D193" s="19">
        <v>0.88</v>
      </c>
      <c r="E193" s="21">
        <v>2.4</v>
      </c>
      <c r="F193" s="8">
        <v>0.007</v>
      </c>
      <c r="G193" s="21">
        <v>203.488838997998</v>
      </c>
      <c r="H193" s="22">
        <f t="shared" si="1"/>
        <v>0.5446</v>
      </c>
      <c r="I193" s="22">
        <f t="shared" si="2"/>
        <v>1.836210062</v>
      </c>
      <c r="J193" s="22">
        <f t="shared" si="3"/>
        <v>0.3666666667</v>
      </c>
      <c r="K193" s="22">
        <f t="shared" si="4"/>
        <v>0.001801900627</v>
      </c>
      <c r="L193" s="22">
        <f t="shared" si="5"/>
        <v>0.6177945008</v>
      </c>
      <c r="M193" s="22">
        <f t="shared" si="63"/>
        <v>0.5555555556</v>
      </c>
      <c r="N193" s="22">
        <f t="shared" si="64"/>
        <v>0.5347086616</v>
      </c>
      <c r="O193" s="22">
        <f t="shared" si="65"/>
        <v>0.319305419</v>
      </c>
      <c r="P193" s="22">
        <f t="shared" si="9"/>
        <v>0.9865984253</v>
      </c>
      <c r="AE193" s="22">
        <f t="shared" si="68"/>
        <v>136</v>
      </c>
      <c r="AF193" s="22">
        <f t="shared" si="69"/>
        <v>334</v>
      </c>
    </row>
    <row r="194">
      <c r="A194" s="18" t="s">
        <v>31</v>
      </c>
      <c r="B194" s="8" t="s">
        <v>80</v>
      </c>
      <c r="C194" s="8">
        <v>28.0</v>
      </c>
      <c r="D194" s="19">
        <v>0.88</v>
      </c>
      <c r="E194" s="21">
        <v>1.94</v>
      </c>
      <c r="F194" s="8">
        <v>0.006</v>
      </c>
      <c r="G194" s="21">
        <v>164.965692454001</v>
      </c>
      <c r="H194" s="22">
        <f t="shared" si="1"/>
        <v>0.4668</v>
      </c>
      <c r="I194" s="22">
        <f t="shared" si="2"/>
        <v>2.142245073</v>
      </c>
      <c r="J194" s="22">
        <f t="shared" si="3"/>
        <v>0.4536082474</v>
      </c>
      <c r="K194" s="22">
        <f t="shared" si="4"/>
        <v>0.002749712626</v>
      </c>
      <c r="L194" s="22">
        <f t="shared" si="5"/>
        <v>0.8890737491</v>
      </c>
      <c r="M194" s="22">
        <f t="shared" si="63"/>
        <v>0.4444444444</v>
      </c>
      <c r="N194" s="22">
        <f t="shared" si="64"/>
        <v>0.3771272796</v>
      </c>
      <c r="O194" s="22">
        <f t="shared" si="65"/>
        <v>0.3832152958</v>
      </c>
      <c r="P194" s="22">
        <f t="shared" si="9"/>
        <v>0.953395809</v>
      </c>
      <c r="AE194" s="22">
        <f t="shared" si="68"/>
        <v>145</v>
      </c>
      <c r="AF194" s="22">
        <f t="shared" si="69"/>
        <v>345</v>
      </c>
    </row>
    <row r="195">
      <c r="A195" s="18" t="s">
        <v>31</v>
      </c>
      <c r="B195" s="8" t="s">
        <v>80</v>
      </c>
      <c r="C195" s="8">
        <v>29.0</v>
      </c>
      <c r="D195" s="19">
        <v>0.88</v>
      </c>
      <c r="E195" s="21">
        <v>2.51</v>
      </c>
      <c r="F195" s="8">
        <v>0.007</v>
      </c>
      <c r="G195" s="21">
        <v>212.679667042</v>
      </c>
      <c r="H195" s="22">
        <f t="shared" si="1"/>
        <v>0.5446</v>
      </c>
      <c r="I195" s="22">
        <f t="shared" si="2"/>
        <v>1.836210062</v>
      </c>
      <c r="J195" s="22">
        <f t="shared" si="3"/>
        <v>0.3505976096</v>
      </c>
      <c r="K195" s="22">
        <f t="shared" si="4"/>
        <v>0.001648477329</v>
      </c>
      <c r="L195" s="22">
        <f t="shared" si="5"/>
        <v>0.591096871</v>
      </c>
      <c r="M195" s="22">
        <f t="shared" si="63"/>
        <v>0.5555555556</v>
      </c>
      <c r="N195" s="22">
        <f t="shared" si="64"/>
        <v>0.5723043285</v>
      </c>
      <c r="O195" s="22">
        <f t="shared" si="65"/>
        <v>0.3116704466</v>
      </c>
      <c r="P195" s="22">
        <f t="shared" si="9"/>
        <v>1.010767068</v>
      </c>
      <c r="AE195" s="22">
        <f t="shared" si="68"/>
        <v>133.3333333</v>
      </c>
      <c r="AF195" s="22">
        <f t="shared" si="69"/>
        <v>370</v>
      </c>
    </row>
    <row r="196">
      <c r="A196" s="18" t="s">
        <v>31</v>
      </c>
      <c r="B196" s="8" t="s">
        <v>80</v>
      </c>
      <c r="C196" s="8">
        <v>30.0</v>
      </c>
      <c r="D196" s="19">
        <v>0.88</v>
      </c>
      <c r="E196" s="21">
        <v>3.0</v>
      </c>
      <c r="F196" s="8">
        <v>0.009</v>
      </c>
      <c r="G196" s="21">
        <v>254.198485946999</v>
      </c>
      <c r="H196" s="22">
        <f t="shared" si="1"/>
        <v>0.7002</v>
      </c>
      <c r="I196" s="22">
        <f t="shared" si="2"/>
        <v>1.428163382</v>
      </c>
      <c r="J196" s="22">
        <f t="shared" si="3"/>
        <v>0.2933333333</v>
      </c>
      <c r="K196" s="22">
        <f t="shared" si="4"/>
        <v>0.001153953896</v>
      </c>
      <c r="L196" s="22">
        <f t="shared" si="5"/>
        <v>0.3846512988</v>
      </c>
      <c r="M196" s="22">
        <f t="shared" si="63"/>
        <v>0.7777777778</v>
      </c>
      <c r="N196" s="22">
        <f t="shared" si="64"/>
        <v>0.7421396989</v>
      </c>
      <c r="O196" s="22">
        <f t="shared" si="65"/>
        <v>0.2461258953</v>
      </c>
      <c r="P196" s="22">
        <f t="shared" si="9"/>
        <v>0.9799535807</v>
      </c>
      <c r="AE196" s="22">
        <f t="shared" si="68"/>
        <v>126</v>
      </c>
      <c r="AF196" s="22">
        <f t="shared" si="69"/>
        <v>378</v>
      </c>
    </row>
    <row r="197">
      <c r="A197" s="18" t="s">
        <v>31</v>
      </c>
      <c r="B197" s="8" t="s">
        <v>80</v>
      </c>
      <c r="C197" s="8">
        <v>31.0</v>
      </c>
      <c r="D197" s="19">
        <v>0.88</v>
      </c>
      <c r="E197" s="21">
        <v>2.84</v>
      </c>
      <c r="F197" s="8">
        <v>0.008</v>
      </c>
      <c r="G197" s="21">
        <v>240.492751789</v>
      </c>
      <c r="H197" s="22">
        <f t="shared" si="1"/>
        <v>0.6224</v>
      </c>
      <c r="I197" s="22">
        <f t="shared" si="2"/>
        <v>1.606683805</v>
      </c>
      <c r="J197" s="22">
        <f t="shared" si="3"/>
        <v>0.3098591549</v>
      </c>
      <c r="K197" s="22">
        <f t="shared" si="4"/>
        <v>0.001288434486</v>
      </c>
      <c r="L197" s="22">
        <f t="shared" si="5"/>
        <v>0.4573942424</v>
      </c>
      <c r="M197" s="22">
        <f t="shared" si="63"/>
        <v>0.6666666667</v>
      </c>
      <c r="N197" s="22">
        <f t="shared" si="64"/>
        <v>0.6860755213</v>
      </c>
      <c r="O197" s="22">
        <f t="shared" si="65"/>
        <v>0.2712638908</v>
      </c>
      <c r="P197" s="22">
        <f t="shared" si="9"/>
        <v>1.011645313</v>
      </c>
      <c r="AE197" s="22">
        <f t="shared" si="68"/>
        <v>142</v>
      </c>
      <c r="AF197" s="22">
        <f t="shared" si="69"/>
        <v>384</v>
      </c>
    </row>
    <row r="198">
      <c r="A198" s="18" t="s">
        <v>31</v>
      </c>
      <c r="B198" s="8" t="s">
        <v>80</v>
      </c>
      <c r="C198" s="8">
        <v>32.0</v>
      </c>
      <c r="D198" s="19">
        <v>0.88</v>
      </c>
      <c r="E198" s="21">
        <v>3.07</v>
      </c>
      <c r="F198" s="8">
        <v>0.009</v>
      </c>
      <c r="G198" s="21">
        <v>259.522868781999</v>
      </c>
      <c r="H198" s="22">
        <f t="shared" si="1"/>
        <v>0.7002</v>
      </c>
      <c r="I198" s="22">
        <f t="shared" si="2"/>
        <v>1.428163382</v>
      </c>
      <c r="J198" s="22">
        <f t="shared" si="3"/>
        <v>0.2866449511</v>
      </c>
      <c r="K198" s="22">
        <f t="shared" si="4"/>
        <v>0.001104507485</v>
      </c>
      <c r="L198" s="22">
        <f t="shared" si="5"/>
        <v>0.3767597755</v>
      </c>
      <c r="M198" s="22">
        <f t="shared" si="63"/>
        <v>0.7777777778</v>
      </c>
      <c r="N198" s="22">
        <f t="shared" si="64"/>
        <v>0.7639194257</v>
      </c>
      <c r="O198" s="22">
        <f t="shared" si="65"/>
        <v>0.2430868933</v>
      </c>
      <c r="P198" s="22">
        <f t="shared" si="9"/>
        <v>0.992204677</v>
      </c>
      <c r="AE198" s="22">
        <f t="shared" si="68"/>
        <v>132</v>
      </c>
      <c r="AF198" s="22">
        <f t="shared" si="69"/>
        <v>377.5</v>
      </c>
    </row>
    <row r="199">
      <c r="A199" s="18" t="s">
        <v>31</v>
      </c>
      <c r="B199" s="8" t="s">
        <v>80</v>
      </c>
      <c r="C199" s="8">
        <v>33.0</v>
      </c>
      <c r="D199" s="19">
        <v>0.88</v>
      </c>
      <c r="E199" s="21">
        <v>2.07</v>
      </c>
      <c r="F199" s="8">
        <v>0.006</v>
      </c>
      <c r="G199" s="21">
        <v>174.834985438999</v>
      </c>
      <c r="H199" s="22">
        <f t="shared" si="1"/>
        <v>0.4668</v>
      </c>
      <c r="I199" s="22">
        <f t="shared" si="2"/>
        <v>2.142245073</v>
      </c>
      <c r="J199" s="22">
        <f t="shared" si="3"/>
        <v>0.4251207729</v>
      </c>
      <c r="K199" s="22">
        <f t="shared" si="4"/>
        <v>0.00243155437</v>
      </c>
      <c r="L199" s="22">
        <f t="shared" si="5"/>
        <v>0.8388862578</v>
      </c>
      <c r="M199" s="22">
        <f t="shared" si="63"/>
        <v>0.4444444444</v>
      </c>
      <c r="N199" s="22">
        <f t="shared" si="64"/>
        <v>0.4174982505</v>
      </c>
      <c r="O199" s="22">
        <f t="shared" si="65"/>
        <v>0.3723011563</v>
      </c>
      <c r="P199" s="22">
        <f t="shared" si="9"/>
        <v>0.9813449427</v>
      </c>
    </row>
    <row r="200">
      <c r="A200" s="18" t="s">
        <v>31</v>
      </c>
      <c r="B200" s="8" t="s">
        <v>92</v>
      </c>
      <c r="C200" s="8">
        <v>1.0</v>
      </c>
      <c r="D200" s="19">
        <v>0.88</v>
      </c>
      <c r="E200" s="21">
        <v>0.92</v>
      </c>
      <c r="F200" s="8">
        <v>0.007</v>
      </c>
      <c r="G200" s="21">
        <v>196.022340082</v>
      </c>
      <c r="H200" s="22">
        <f t="shared" si="1"/>
        <v>0.5446</v>
      </c>
      <c r="I200" s="22">
        <f t="shared" si="2"/>
        <v>1.836210062</v>
      </c>
      <c r="J200" s="22">
        <f t="shared" si="3"/>
        <v>0.9565217391</v>
      </c>
      <c r="K200" s="22">
        <f t="shared" si="4"/>
        <v>0.004879656771</v>
      </c>
      <c r="L200" s="22">
        <f t="shared" si="5"/>
        <v>0.6413263185</v>
      </c>
      <c r="M200" s="22">
        <f t="shared" si="63"/>
        <v>0.5555555556</v>
      </c>
      <c r="N200" s="22">
        <f t="shared" si="64"/>
        <v>0.5041664728</v>
      </c>
      <c r="O200" s="22">
        <f t="shared" si="65"/>
        <v>0.3257889343</v>
      </c>
      <c r="P200" s="22">
        <f t="shared" si="9"/>
        <v>0.9669641611</v>
      </c>
      <c r="AD200" s="54" t="s">
        <v>22</v>
      </c>
      <c r="AE200" s="54" t="s">
        <v>73</v>
      </c>
      <c r="AF200" s="54" t="s">
        <v>74</v>
      </c>
      <c r="AG200" s="54" t="s">
        <v>75</v>
      </c>
      <c r="AH200" s="54" t="s">
        <v>76</v>
      </c>
      <c r="AI200" s="54" t="s">
        <v>77</v>
      </c>
      <c r="AJ200" s="54" t="s">
        <v>78</v>
      </c>
      <c r="AK200" s="54" t="s">
        <v>79</v>
      </c>
    </row>
    <row r="201">
      <c r="A201" s="18" t="s">
        <v>31</v>
      </c>
      <c r="B201" s="8" t="s">
        <v>92</v>
      </c>
      <c r="C201" s="8">
        <v>2.0</v>
      </c>
      <c r="D201" s="19">
        <v>0.88</v>
      </c>
      <c r="E201" s="21">
        <v>0.64</v>
      </c>
      <c r="F201" s="8">
        <v>0.005</v>
      </c>
      <c r="G201" s="21">
        <v>135.381921932999</v>
      </c>
      <c r="H201" s="22">
        <f t="shared" si="1"/>
        <v>0.389</v>
      </c>
      <c r="I201" s="22">
        <f t="shared" si="2"/>
        <v>2.570694087</v>
      </c>
      <c r="J201" s="22">
        <f t="shared" si="3"/>
        <v>1.375</v>
      </c>
      <c r="K201" s="22">
        <f t="shared" si="4"/>
        <v>0.01015645206</v>
      </c>
      <c r="L201" s="22">
        <f t="shared" si="5"/>
        <v>1.300025864</v>
      </c>
      <c r="M201" s="22">
        <f t="shared" si="63"/>
        <v>0.3333333333</v>
      </c>
      <c r="N201" s="22">
        <f t="shared" si="64"/>
        <v>0.256112984</v>
      </c>
      <c r="O201" s="22">
        <f t="shared" si="65"/>
        <v>0.455145568</v>
      </c>
      <c r="P201" s="22">
        <f t="shared" si="9"/>
        <v>0.942084738</v>
      </c>
      <c r="AD201" s="18" t="s">
        <v>29</v>
      </c>
      <c r="AE201" s="38">
        <f t="shared" ref="AE201:AF201" si="70">AVERAGE(AE19,AE51)</f>
        <v>291.25</v>
      </c>
      <c r="AF201" s="38">
        <f t="shared" si="70"/>
        <v>446.6666667</v>
      </c>
      <c r="AG201" s="48">
        <f t="shared" ref="AG201:AH201" si="71">100*(AE13-AE10)/AE10</f>
        <v>-33.33333333</v>
      </c>
      <c r="AH201" s="38">
        <f t="shared" si="71"/>
        <v>48.14814815</v>
      </c>
      <c r="AI201" s="38">
        <v>7.659</v>
      </c>
      <c r="AJ201" s="38">
        <f t="shared" ref="AJ201:AK201" si="72">(2*(S2*U2))/(S2+U2)</f>
        <v>0.008844221106</v>
      </c>
      <c r="AK201" s="38">
        <f t="shared" si="72"/>
        <v>0.005979614949</v>
      </c>
    </row>
    <row r="202">
      <c r="A202" s="18" t="s">
        <v>31</v>
      </c>
      <c r="B202" s="8" t="s">
        <v>92</v>
      </c>
      <c r="C202" s="8">
        <v>3.0</v>
      </c>
      <c r="D202" s="19">
        <v>0.88</v>
      </c>
      <c r="E202" s="21">
        <v>0.86</v>
      </c>
      <c r="F202" s="8">
        <v>0.006</v>
      </c>
      <c r="G202" s="21">
        <v>182.637392255</v>
      </c>
      <c r="H202" s="22">
        <f t="shared" si="1"/>
        <v>0.4668</v>
      </c>
      <c r="I202" s="22">
        <f t="shared" si="2"/>
        <v>2.142245073</v>
      </c>
      <c r="J202" s="22">
        <f t="shared" si="3"/>
        <v>1.023255814</v>
      </c>
      <c r="K202" s="22">
        <f t="shared" si="4"/>
        <v>0.005602663295</v>
      </c>
      <c r="L202" s="22">
        <f t="shared" si="5"/>
        <v>0.8030484057</v>
      </c>
      <c r="M202" s="22">
        <f t="shared" si="63"/>
        <v>0.4444444444</v>
      </c>
      <c r="N202" s="22">
        <f t="shared" si="64"/>
        <v>0.449414492</v>
      </c>
      <c r="O202" s="22">
        <f t="shared" si="65"/>
        <v>0.3641030503</v>
      </c>
      <c r="P202" s="22">
        <f t="shared" si="9"/>
        <v>1.003440802</v>
      </c>
      <c r="AD202" s="18" t="s">
        <v>31</v>
      </c>
      <c r="AE202" s="38">
        <f t="shared" ref="AE202:AF202" si="73">AVERAGE(AE55,AE87)</f>
        <v>134.8333333</v>
      </c>
      <c r="AF202" s="38">
        <f t="shared" si="73"/>
        <v>141.6666667</v>
      </c>
      <c r="AG202" s="38">
        <f t="shared" ref="AG202:AH202" si="74">100*(AH13-AH10)/AH10</f>
        <v>-27.27272727</v>
      </c>
      <c r="AH202" s="38">
        <f t="shared" si="74"/>
        <v>45.45454545</v>
      </c>
      <c r="AI202" s="38">
        <f>100*(R5-Q5)/Q5</f>
        <v>-22.81879195</v>
      </c>
      <c r="AJ202" s="38">
        <f t="shared" ref="AJ202:AK202" si="75">(2*(S5*U5))/(S5+U5)</f>
        <v>0.01084188912</v>
      </c>
      <c r="AK202" s="38">
        <f t="shared" si="75"/>
        <v>0.007468175389</v>
      </c>
    </row>
    <row r="203">
      <c r="A203" s="18" t="s">
        <v>31</v>
      </c>
      <c r="B203" s="8" t="s">
        <v>92</v>
      </c>
      <c r="C203" s="8">
        <v>4.0</v>
      </c>
      <c r="D203" s="19">
        <v>0.88</v>
      </c>
      <c r="E203" s="21">
        <v>0.83</v>
      </c>
      <c r="F203" s="8">
        <v>0.006</v>
      </c>
      <c r="G203" s="21">
        <v>177.010003892999</v>
      </c>
      <c r="H203" s="22">
        <f t="shared" si="1"/>
        <v>0.4668</v>
      </c>
      <c r="I203" s="22">
        <f t="shared" si="2"/>
        <v>2.142245073</v>
      </c>
      <c r="J203" s="22">
        <f t="shared" si="3"/>
        <v>1.060240964</v>
      </c>
      <c r="K203" s="22">
        <f t="shared" si="4"/>
        <v>0.005989723408</v>
      </c>
      <c r="L203" s="22">
        <f t="shared" si="5"/>
        <v>0.8285784048</v>
      </c>
      <c r="M203" s="22">
        <f t="shared" si="63"/>
        <v>0.4444444444</v>
      </c>
      <c r="N203" s="22">
        <f t="shared" si="64"/>
        <v>0.4263953019</v>
      </c>
      <c r="O203" s="22">
        <f t="shared" si="65"/>
        <v>0.3699789512</v>
      </c>
      <c r="P203" s="22">
        <f t="shared" si="9"/>
        <v>0.9875044398</v>
      </c>
      <c r="AD203" s="18" t="s">
        <v>38</v>
      </c>
      <c r="AE203" s="38">
        <f t="shared" ref="AE203:AF203" si="76">AVERAGE(AE92,AE124)</f>
        <v>282</v>
      </c>
      <c r="AF203" s="38">
        <f t="shared" si="76"/>
        <v>142.0833333</v>
      </c>
      <c r="AG203" s="38">
        <f t="shared" ref="AG203:AH203" si="77">100*(AK13-AK10)/AK10</f>
        <v>-30</v>
      </c>
      <c r="AH203" s="38">
        <f t="shared" si="77"/>
        <v>45.83333333</v>
      </c>
      <c r="AI203" s="38">
        <f>100*(R8-Q8)/Q8</f>
        <v>-65.24822695</v>
      </c>
      <c r="AJ203" s="38">
        <f t="shared" ref="AJ203:AK203" si="78">(2*(S8*U8))/(S8+U8)</f>
        <v>0.009944134078</v>
      </c>
      <c r="AK203" s="38">
        <f t="shared" si="78"/>
        <v>0.00683082827</v>
      </c>
    </row>
    <row r="204">
      <c r="A204" s="18" t="s">
        <v>31</v>
      </c>
      <c r="B204" s="8" t="s">
        <v>92</v>
      </c>
      <c r="C204" s="8">
        <v>5.0</v>
      </c>
      <c r="D204" s="19">
        <v>0.88</v>
      </c>
      <c r="E204" s="21">
        <v>0.64</v>
      </c>
      <c r="F204" s="8">
        <v>0.005</v>
      </c>
      <c r="G204" s="21">
        <v>135.578548184</v>
      </c>
      <c r="H204" s="22">
        <f t="shared" si="1"/>
        <v>0.389</v>
      </c>
      <c r="I204" s="22">
        <f t="shared" si="2"/>
        <v>2.570694087</v>
      </c>
      <c r="J204" s="22">
        <f t="shared" si="3"/>
        <v>1.375</v>
      </c>
      <c r="K204" s="22">
        <f t="shared" si="4"/>
        <v>0.01014172241</v>
      </c>
      <c r="L204" s="22">
        <f t="shared" si="5"/>
        <v>1.298140468</v>
      </c>
      <c r="M204" s="22">
        <f t="shared" si="63"/>
        <v>0.3333333333</v>
      </c>
      <c r="N204" s="22">
        <f t="shared" si="64"/>
        <v>0.2569172962</v>
      </c>
      <c r="O204" s="22">
        <f t="shared" si="65"/>
        <v>0.4548543164</v>
      </c>
      <c r="P204" s="22">
        <f t="shared" si="9"/>
        <v>0.9426879721</v>
      </c>
      <c r="AD204" s="18" t="s">
        <v>39</v>
      </c>
      <c r="AE204" s="38">
        <f t="shared" ref="AE204:AF204" si="79">AVERAGE(AE129,AE161)</f>
        <v>130</v>
      </c>
      <c r="AF204" s="38">
        <f t="shared" si="79"/>
        <v>144.6428571</v>
      </c>
      <c r="AG204" s="38">
        <f t="shared" ref="AG204:AH204" si="80">100*(AN13-AN10)/AN10</f>
        <v>-8.333333333</v>
      </c>
      <c r="AH204" s="38">
        <f t="shared" si="80"/>
        <v>17.85714286</v>
      </c>
      <c r="AI204" s="38">
        <f>100*(R11-Q11)/Q11</f>
        <v>0</v>
      </c>
      <c r="AJ204" s="38">
        <f t="shared" ref="AJ204:AK204" si="81">(2*(S11*U11))/(S11+U11)</f>
        <v>0.01192307692</v>
      </c>
      <c r="AK204" s="38">
        <f t="shared" si="81"/>
        <v>0.01012638538</v>
      </c>
    </row>
    <row r="205">
      <c r="A205" s="18" t="s">
        <v>31</v>
      </c>
      <c r="B205" s="8" t="s">
        <v>92</v>
      </c>
      <c r="C205" s="8">
        <v>6.0</v>
      </c>
      <c r="D205" s="19">
        <v>0.88</v>
      </c>
      <c r="E205" s="21">
        <v>0.86</v>
      </c>
      <c r="F205" s="8">
        <v>0.006</v>
      </c>
      <c r="G205" s="21">
        <v>183.659476594</v>
      </c>
      <c r="H205" s="22">
        <f t="shared" si="1"/>
        <v>0.4668</v>
      </c>
      <c r="I205" s="22">
        <f t="shared" si="2"/>
        <v>2.142245073</v>
      </c>
      <c r="J205" s="22">
        <f t="shared" si="3"/>
        <v>1.023255814</v>
      </c>
      <c r="K205" s="22">
        <f t="shared" si="4"/>
        <v>0.005571483884</v>
      </c>
      <c r="L205" s="22">
        <f t="shared" si="5"/>
        <v>0.7985793567</v>
      </c>
      <c r="M205" s="22">
        <f t="shared" si="63"/>
        <v>0.4444444444</v>
      </c>
      <c r="N205" s="22">
        <f t="shared" si="64"/>
        <v>0.4535953931</v>
      </c>
      <c r="O205" s="22">
        <f t="shared" si="65"/>
        <v>0.3630557996</v>
      </c>
      <c r="P205" s="22">
        <f t="shared" si="9"/>
        <v>1.006335272</v>
      </c>
      <c r="AD205" s="18" t="s">
        <v>40</v>
      </c>
      <c r="AE205" s="38">
        <f t="shared" ref="AE205:AF205" si="82">AVERAGE(AE166,AE198)</f>
        <v>135</v>
      </c>
      <c r="AF205" s="38">
        <f t="shared" si="82"/>
        <v>358.75</v>
      </c>
      <c r="AG205" s="48">
        <f t="shared" ref="AG205:AH205" si="83">100*(AQ13-AQ10)/AQ10</f>
        <v>-10</v>
      </c>
      <c r="AH205" s="38">
        <f t="shared" si="83"/>
        <v>12.5</v>
      </c>
      <c r="AI205" s="38">
        <f>100*(R14-Q14)/Q14</f>
        <v>137.7777778</v>
      </c>
      <c r="AJ205" s="38">
        <f t="shared" ref="AJ205:AK205" si="84">(2*(S14*U14))/(S14+U14)</f>
        <v>0.009948186528</v>
      </c>
      <c r="AK205" s="38">
        <f t="shared" si="84"/>
        <v>0.008847926267</v>
      </c>
    </row>
    <row r="206">
      <c r="A206" s="18" t="s">
        <v>31</v>
      </c>
      <c r="B206" s="8" t="s">
        <v>92</v>
      </c>
      <c r="C206" s="8">
        <v>7.0</v>
      </c>
      <c r="D206" s="19">
        <v>0.88</v>
      </c>
      <c r="E206" s="21">
        <v>1.1</v>
      </c>
      <c r="F206" s="8">
        <v>0.008</v>
      </c>
      <c r="G206" s="21">
        <v>233.834190267</v>
      </c>
      <c r="H206" s="22">
        <f t="shared" si="1"/>
        <v>0.6224</v>
      </c>
      <c r="I206" s="22">
        <f t="shared" si="2"/>
        <v>1.606683805</v>
      </c>
      <c r="J206" s="22">
        <f t="shared" si="3"/>
        <v>0.8</v>
      </c>
      <c r="K206" s="22">
        <f t="shared" si="4"/>
        <v>0.003421227662</v>
      </c>
      <c r="L206" s="22">
        <f t="shared" si="5"/>
        <v>0.4704188035</v>
      </c>
      <c r="M206" s="22">
        <f t="shared" si="63"/>
        <v>0.6666666667</v>
      </c>
      <c r="N206" s="22">
        <f t="shared" si="64"/>
        <v>0.6588382518</v>
      </c>
      <c r="O206" s="22">
        <f t="shared" si="65"/>
        <v>0.2757179041</v>
      </c>
      <c r="P206" s="22">
        <f t="shared" si="9"/>
        <v>0.9953029511</v>
      </c>
    </row>
    <row r="207">
      <c r="A207" s="18" t="s">
        <v>31</v>
      </c>
      <c r="B207" s="8" t="s">
        <v>92</v>
      </c>
      <c r="C207" s="8">
        <v>8.0</v>
      </c>
      <c r="D207" s="19">
        <v>0.88</v>
      </c>
      <c r="E207" s="21">
        <v>1.26</v>
      </c>
      <c r="F207" s="8">
        <v>0.009</v>
      </c>
      <c r="G207" s="21">
        <v>268.233836244</v>
      </c>
      <c r="H207" s="22">
        <f t="shared" si="1"/>
        <v>0.7002</v>
      </c>
      <c r="I207" s="22">
        <f t="shared" si="2"/>
        <v>1.428163382</v>
      </c>
      <c r="J207" s="22">
        <f t="shared" si="3"/>
        <v>0.6984126984</v>
      </c>
      <c r="K207" s="22">
        <f t="shared" si="4"/>
        <v>0.002603745703</v>
      </c>
      <c r="L207" s="22">
        <f t="shared" si="5"/>
        <v>0.3645243984</v>
      </c>
      <c r="M207" s="22">
        <f t="shared" si="63"/>
        <v>0.7777777778</v>
      </c>
      <c r="N207" s="22">
        <f t="shared" si="64"/>
        <v>0.7995521924</v>
      </c>
      <c r="O207" s="22">
        <f t="shared" si="65"/>
        <v>0.2382735522</v>
      </c>
      <c r="P207" s="22">
        <f t="shared" si="9"/>
        <v>1.012248108</v>
      </c>
    </row>
    <row r="208">
      <c r="A208" s="18" t="s">
        <v>31</v>
      </c>
      <c r="B208" s="8" t="s">
        <v>92</v>
      </c>
      <c r="C208" s="8">
        <v>9.0</v>
      </c>
      <c r="D208" s="19">
        <v>0.88</v>
      </c>
      <c r="E208" s="21">
        <v>0.51</v>
      </c>
      <c r="F208" s="8">
        <v>0.004</v>
      </c>
      <c r="G208" s="21">
        <v>109.187448222</v>
      </c>
      <c r="H208" s="22">
        <f t="shared" si="1"/>
        <v>0.3112</v>
      </c>
      <c r="I208" s="22">
        <f t="shared" si="2"/>
        <v>3.213367609</v>
      </c>
      <c r="J208" s="22">
        <f t="shared" si="3"/>
        <v>1.725490196</v>
      </c>
      <c r="K208" s="22">
        <f t="shared" si="4"/>
        <v>0.01580300872</v>
      </c>
      <c r="L208" s="22">
        <f t="shared" si="5"/>
        <v>2.014883611</v>
      </c>
      <c r="M208" s="22">
        <f t="shared" si="63"/>
        <v>0.2222222222</v>
      </c>
      <c r="N208" s="22">
        <f t="shared" si="64"/>
        <v>0.1489628226</v>
      </c>
      <c r="O208" s="22">
        <f t="shared" si="65"/>
        <v>0.5428272079</v>
      </c>
      <c r="P208" s="22">
        <f t="shared" si="9"/>
        <v>0.9400604912</v>
      </c>
    </row>
    <row r="209">
      <c r="A209" s="18" t="s">
        <v>31</v>
      </c>
      <c r="B209" s="8" t="s">
        <v>92</v>
      </c>
      <c r="C209" s="8">
        <v>10.0</v>
      </c>
      <c r="D209" s="19">
        <v>0.88</v>
      </c>
      <c r="E209" s="21">
        <v>0.45</v>
      </c>
      <c r="F209" s="8">
        <v>0.003</v>
      </c>
      <c r="G209" s="21">
        <v>95.90639276</v>
      </c>
      <c r="H209" s="22">
        <f t="shared" si="1"/>
        <v>0.2334</v>
      </c>
      <c r="I209" s="22">
        <f t="shared" si="2"/>
        <v>4.284490146</v>
      </c>
      <c r="J209" s="22">
        <f t="shared" si="3"/>
        <v>1.955555556</v>
      </c>
      <c r="K209" s="22">
        <f t="shared" si="4"/>
        <v>0.0203902524</v>
      </c>
      <c r="L209" s="22">
        <f t="shared" si="5"/>
        <v>3.058537861</v>
      </c>
      <c r="M209" s="22">
        <f t="shared" si="63"/>
        <v>0.1111111111</v>
      </c>
      <c r="N209" s="22">
        <f t="shared" si="64"/>
        <v>0.09463582023</v>
      </c>
      <c r="O209" s="22">
        <f t="shared" si="65"/>
        <v>0.6267446181</v>
      </c>
      <c r="P209" s="22">
        <f t="shared" si="9"/>
        <v>0.9851722382</v>
      </c>
    </row>
    <row r="210">
      <c r="A210" s="18" t="s">
        <v>31</v>
      </c>
      <c r="B210" s="8" t="s">
        <v>92</v>
      </c>
      <c r="C210" s="8">
        <v>11.0</v>
      </c>
      <c r="D210" s="19">
        <v>0.88</v>
      </c>
      <c r="E210" s="21">
        <v>0.77</v>
      </c>
      <c r="F210" s="8">
        <v>0.006</v>
      </c>
      <c r="G210" s="21">
        <v>164.63471991</v>
      </c>
      <c r="H210" s="22">
        <f t="shared" si="1"/>
        <v>0.4668</v>
      </c>
      <c r="I210" s="22">
        <f t="shared" si="2"/>
        <v>2.142245073</v>
      </c>
      <c r="J210" s="22">
        <f t="shared" si="3"/>
        <v>1.142857143</v>
      </c>
      <c r="K210" s="22">
        <f t="shared" si="4"/>
        <v>0.006941774757</v>
      </c>
      <c r="L210" s="22">
        <f t="shared" si="5"/>
        <v>0.8908610939</v>
      </c>
      <c r="M210" s="22">
        <f t="shared" si="63"/>
        <v>0.4444444444</v>
      </c>
      <c r="N210" s="22">
        <f t="shared" si="64"/>
        <v>0.3757734154</v>
      </c>
      <c r="O210" s="22">
        <f t="shared" si="65"/>
        <v>0.3835924084</v>
      </c>
      <c r="P210" s="22">
        <f t="shared" si="9"/>
        <v>0.9524585183</v>
      </c>
    </row>
    <row r="211">
      <c r="A211" s="18" t="s">
        <v>31</v>
      </c>
      <c r="B211" s="8" t="s">
        <v>92</v>
      </c>
      <c r="C211" s="8">
        <v>12.0</v>
      </c>
      <c r="D211" s="19">
        <v>0.88</v>
      </c>
      <c r="E211" s="21">
        <v>0.55</v>
      </c>
      <c r="F211" s="8">
        <v>0.004</v>
      </c>
      <c r="G211" s="21">
        <v>116.485520149999</v>
      </c>
      <c r="H211" s="22">
        <f t="shared" si="1"/>
        <v>0.3112</v>
      </c>
      <c r="I211" s="22">
        <f t="shared" si="2"/>
        <v>3.213367609</v>
      </c>
      <c r="J211" s="22">
        <f t="shared" si="3"/>
        <v>1.6</v>
      </c>
      <c r="K211" s="22">
        <f t="shared" si="4"/>
        <v>0.01373561279</v>
      </c>
      <c r="L211" s="22">
        <f t="shared" si="5"/>
        <v>1.888646758</v>
      </c>
      <c r="M211" s="22">
        <f t="shared" si="63"/>
        <v>0.2222222222</v>
      </c>
      <c r="N211" s="22">
        <f t="shared" si="64"/>
        <v>0.1788160502</v>
      </c>
      <c r="O211" s="22">
        <f t="shared" si="65"/>
        <v>0.5290802419</v>
      </c>
      <c r="P211" s="22">
        <f t="shared" si="9"/>
        <v>0.9644858593</v>
      </c>
    </row>
    <row r="212">
      <c r="A212" s="18" t="s">
        <v>31</v>
      </c>
      <c r="B212" s="8" t="s">
        <v>92</v>
      </c>
      <c r="C212" s="8">
        <v>13.0</v>
      </c>
      <c r="D212" s="19">
        <v>0.88</v>
      </c>
      <c r="E212" s="21">
        <v>0.79</v>
      </c>
      <c r="F212" s="8">
        <v>0.006</v>
      </c>
      <c r="G212" s="21">
        <v>168.090482636999</v>
      </c>
      <c r="H212" s="22">
        <f t="shared" si="1"/>
        <v>0.4668</v>
      </c>
      <c r="I212" s="22">
        <f t="shared" si="2"/>
        <v>2.142245073</v>
      </c>
      <c r="J212" s="22">
        <f t="shared" si="3"/>
        <v>1.113924051</v>
      </c>
      <c r="K212" s="22">
        <f t="shared" si="4"/>
        <v>0.006626931122</v>
      </c>
      <c r="L212" s="22">
        <f t="shared" si="5"/>
        <v>0.872545931</v>
      </c>
      <c r="M212" s="22">
        <f t="shared" si="63"/>
        <v>0.4444444444</v>
      </c>
      <c r="N212" s="22">
        <f t="shared" si="64"/>
        <v>0.3899094327</v>
      </c>
      <c r="O212" s="22">
        <f t="shared" si="65"/>
        <v>0.3796910974</v>
      </c>
      <c r="P212" s="22">
        <f t="shared" si="9"/>
        <v>0.9622449919</v>
      </c>
    </row>
    <row r="213">
      <c r="A213" s="18" t="s">
        <v>31</v>
      </c>
      <c r="B213" s="8" t="s">
        <v>92</v>
      </c>
      <c r="C213" s="8">
        <v>14.0</v>
      </c>
      <c r="D213" s="19">
        <v>0.88</v>
      </c>
      <c r="E213" s="21">
        <v>0.86</v>
      </c>
      <c r="F213" s="8">
        <v>0.006</v>
      </c>
      <c r="G213" s="21">
        <v>183.234661261</v>
      </c>
      <c r="H213" s="22">
        <f t="shared" si="1"/>
        <v>0.4668</v>
      </c>
      <c r="I213" s="22">
        <f t="shared" si="2"/>
        <v>2.142245073</v>
      </c>
      <c r="J213" s="22">
        <f t="shared" si="3"/>
        <v>1.023255814</v>
      </c>
      <c r="K213" s="22">
        <f t="shared" si="4"/>
        <v>0.005584400937</v>
      </c>
      <c r="L213" s="22">
        <f t="shared" si="5"/>
        <v>0.8004308009</v>
      </c>
      <c r="M213" s="22">
        <f t="shared" si="63"/>
        <v>0.4444444444</v>
      </c>
      <c r="N213" s="22">
        <f t="shared" si="64"/>
        <v>0.4518576589</v>
      </c>
      <c r="O213" s="22">
        <f t="shared" si="65"/>
        <v>0.3634903425</v>
      </c>
      <c r="P213" s="22">
        <f t="shared" si="9"/>
        <v>1.005132225</v>
      </c>
    </row>
    <row r="214">
      <c r="A214" s="18" t="s">
        <v>31</v>
      </c>
      <c r="B214" s="8" t="s">
        <v>92</v>
      </c>
      <c r="C214" s="8">
        <v>15.0</v>
      </c>
      <c r="D214" s="19">
        <v>0.88</v>
      </c>
      <c r="E214" s="21">
        <v>0.93</v>
      </c>
      <c r="F214" s="8">
        <v>0.007</v>
      </c>
      <c r="G214" s="21">
        <v>198.985651996</v>
      </c>
      <c r="H214" s="22">
        <f t="shared" si="1"/>
        <v>0.5446</v>
      </c>
      <c r="I214" s="22">
        <f t="shared" si="2"/>
        <v>1.836210062</v>
      </c>
      <c r="J214" s="22">
        <f t="shared" si="3"/>
        <v>0.9462365591</v>
      </c>
      <c r="K214" s="22">
        <f t="shared" si="4"/>
        <v>0.004755300443</v>
      </c>
      <c r="L214" s="22">
        <f t="shared" si="5"/>
        <v>0.6317756303</v>
      </c>
      <c r="M214" s="22">
        <f t="shared" si="63"/>
        <v>0.5555555556</v>
      </c>
      <c r="N214" s="22">
        <f t="shared" si="64"/>
        <v>0.5162880887</v>
      </c>
      <c r="O214" s="22">
        <f t="shared" si="65"/>
        <v>0.3231844897</v>
      </c>
      <c r="P214" s="22">
        <f t="shared" si="9"/>
        <v>0.9747566284</v>
      </c>
    </row>
    <row r="215">
      <c r="A215" s="18" t="s">
        <v>31</v>
      </c>
      <c r="B215" s="8" t="s">
        <v>92</v>
      </c>
      <c r="C215" s="8">
        <v>16.0</v>
      </c>
      <c r="D215" s="19">
        <v>0.88</v>
      </c>
      <c r="E215" s="21">
        <v>1.21</v>
      </c>
      <c r="F215" s="8">
        <v>0.009</v>
      </c>
      <c r="G215" s="21">
        <v>256.713850674</v>
      </c>
      <c r="H215" s="22">
        <f t="shared" si="1"/>
        <v>0.7002</v>
      </c>
      <c r="I215" s="22">
        <f t="shared" si="2"/>
        <v>1.428163382</v>
      </c>
      <c r="J215" s="22">
        <f t="shared" si="3"/>
        <v>0.7272727273</v>
      </c>
      <c r="K215" s="22">
        <f t="shared" si="4"/>
        <v>0.002833009303</v>
      </c>
      <c r="L215" s="22">
        <f t="shared" si="5"/>
        <v>0.3808823619</v>
      </c>
      <c r="M215" s="22">
        <f t="shared" si="63"/>
        <v>0.7777777778</v>
      </c>
      <c r="N215" s="22">
        <f t="shared" si="64"/>
        <v>0.7524289584</v>
      </c>
      <c r="O215" s="22">
        <f t="shared" si="65"/>
        <v>0.244680785</v>
      </c>
      <c r="P215" s="22">
        <f t="shared" si="9"/>
        <v>0.9857412891</v>
      </c>
    </row>
    <row r="216">
      <c r="A216" s="18" t="s">
        <v>31</v>
      </c>
      <c r="B216" s="8" t="s">
        <v>92</v>
      </c>
      <c r="C216" s="8">
        <v>17.0</v>
      </c>
      <c r="D216" s="19">
        <v>0.88</v>
      </c>
      <c r="E216" s="21">
        <v>0.5</v>
      </c>
      <c r="F216" s="8">
        <v>0.004</v>
      </c>
      <c r="G216" s="21">
        <v>106.091492593999</v>
      </c>
      <c r="H216" s="22">
        <f t="shared" si="1"/>
        <v>0.3112</v>
      </c>
      <c r="I216" s="22">
        <f t="shared" si="2"/>
        <v>3.213367609</v>
      </c>
      <c r="J216" s="22">
        <f t="shared" si="3"/>
        <v>1.76</v>
      </c>
      <c r="K216" s="22">
        <f t="shared" si="4"/>
        <v>0.0165894546</v>
      </c>
      <c r="L216" s="22">
        <f t="shared" si="5"/>
        <v>2.073681825</v>
      </c>
      <c r="M216" s="22">
        <f t="shared" si="63"/>
        <v>0.2222222222</v>
      </c>
      <c r="N216" s="22">
        <f t="shared" si="64"/>
        <v>0.1362986191</v>
      </c>
      <c r="O216" s="22">
        <f t="shared" si="65"/>
        <v>0.5488770914</v>
      </c>
      <c r="P216" s="22">
        <f t="shared" si="9"/>
        <v>0.9296988702</v>
      </c>
    </row>
    <row r="217">
      <c r="A217" s="18" t="s">
        <v>31</v>
      </c>
      <c r="B217" s="8" t="s">
        <v>92</v>
      </c>
      <c r="C217" s="8">
        <v>18.0</v>
      </c>
      <c r="D217" s="19">
        <v>0.88</v>
      </c>
      <c r="E217" s="21">
        <v>0.72</v>
      </c>
      <c r="F217" s="8">
        <v>0.005</v>
      </c>
      <c r="G217" s="21">
        <v>154.263746196</v>
      </c>
      <c r="H217" s="22">
        <f t="shared" si="1"/>
        <v>0.389</v>
      </c>
      <c r="I217" s="22">
        <f t="shared" si="2"/>
        <v>2.570694087</v>
      </c>
      <c r="J217" s="22">
        <f t="shared" si="3"/>
        <v>1.222222222</v>
      </c>
      <c r="K217" s="22">
        <f t="shared" si="4"/>
        <v>0.007922938813</v>
      </c>
      <c r="L217" s="22">
        <f t="shared" si="5"/>
        <v>1.140903189</v>
      </c>
      <c r="M217" s="22">
        <f t="shared" si="63"/>
        <v>0.3333333333</v>
      </c>
      <c r="N217" s="22">
        <f t="shared" si="64"/>
        <v>0.3333502875</v>
      </c>
      <c r="O217" s="22">
        <f t="shared" si="65"/>
        <v>0.428780241</v>
      </c>
      <c r="P217" s="22">
        <f t="shared" si="9"/>
        <v>1.000012716</v>
      </c>
    </row>
    <row r="218">
      <c r="A218" s="18" t="s">
        <v>31</v>
      </c>
      <c r="B218" s="8" t="s">
        <v>92</v>
      </c>
      <c r="C218" s="8">
        <v>19.0</v>
      </c>
      <c r="D218" s="19">
        <v>0.88</v>
      </c>
      <c r="E218" s="21">
        <v>0.63</v>
      </c>
      <c r="F218" s="8">
        <v>0.005</v>
      </c>
      <c r="G218" s="21">
        <v>133.614004625999</v>
      </c>
      <c r="H218" s="22">
        <f t="shared" si="1"/>
        <v>0.389</v>
      </c>
      <c r="I218" s="22">
        <f t="shared" si="2"/>
        <v>2.570694087</v>
      </c>
      <c r="J218" s="22">
        <f t="shared" si="3"/>
        <v>1.396825397</v>
      </c>
      <c r="K218" s="22">
        <f t="shared" si="4"/>
        <v>0.01045418406</v>
      </c>
      <c r="L218" s="22">
        <f t="shared" si="5"/>
        <v>1.317227191</v>
      </c>
      <c r="M218" s="22">
        <f t="shared" si="63"/>
        <v>0.3333333333</v>
      </c>
      <c r="N218" s="22">
        <f t="shared" si="64"/>
        <v>0.2488812058</v>
      </c>
      <c r="O218" s="22">
        <f t="shared" si="65"/>
        <v>0.4577811364</v>
      </c>
      <c r="P218" s="22">
        <f t="shared" si="9"/>
        <v>0.9366609043</v>
      </c>
    </row>
    <row r="219">
      <c r="A219" s="18" t="s">
        <v>31</v>
      </c>
      <c r="B219" s="8" t="s">
        <v>92</v>
      </c>
      <c r="C219" s="8">
        <v>20.0</v>
      </c>
      <c r="D219" s="19">
        <v>0.88</v>
      </c>
      <c r="E219" s="21">
        <v>0.59</v>
      </c>
      <c r="F219" s="8">
        <v>0.004</v>
      </c>
      <c r="G219" s="21">
        <v>125.645155642</v>
      </c>
      <c r="H219" s="22">
        <f t="shared" si="1"/>
        <v>0.3112</v>
      </c>
      <c r="I219" s="22">
        <f t="shared" si="2"/>
        <v>3.213367609</v>
      </c>
      <c r="J219" s="22">
        <f t="shared" si="3"/>
        <v>1.491525424</v>
      </c>
      <c r="K219" s="22">
        <f t="shared" si="4"/>
        <v>0.01187093459</v>
      </c>
      <c r="L219" s="22">
        <f t="shared" si="5"/>
        <v>1.750962851</v>
      </c>
      <c r="M219" s="22">
        <f t="shared" si="63"/>
        <v>0.2222222222</v>
      </c>
      <c r="N219" s="22">
        <f t="shared" si="64"/>
        <v>0.216284122</v>
      </c>
      <c r="O219" s="22">
        <f t="shared" si="65"/>
        <v>0.5127817339</v>
      </c>
      <c r="P219" s="22">
        <f t="shared" si="9"/>
        <v>0.9951415543</v>
      </c>
    </row>
    <row r="220">
      <c r="A220" s="18" t="s">
        <v>31</v>
      </c>
      <c r="B220" s="8" t="s">
        <v>92</v>
      </c>
      <c r="C220" s="8">
        <v>21.0</v>
      </c>
      <c r="D220" s="19">
        <v>0.88</v>
      </c>
      <c r="E220" s="21">
        <v>0.6</v>
      </c>
      <c r="F220" s="8">
        <v>0.004</v>
      </c>
      <c r="G220" s="21">
        <v>127.673265783999</v>
      </c>
      <c r="H220" s="22">
        <f t="shared" si="1"/>
        <v>0.3112</v>
      </c>
      <c r="I220" s="22">
        <f t="shared" si="2"/>
        <v>3.213367609</v>
      </c>
      <c r="J220" s="22">
        <f t="shared" si="3"/>
        <v>1.466666667</v>
      </c>
      <c r="K220" s="22">
        <f t="shared" si="4"/>
        <v>0.01148765685</v>
      </c>
      <c r="L220" s="22">
        <f t="shared" si="5"/>
        <v>1.723148528</v>
      </c>
      <c r="M220" s="22">
        <f t="shared" si="63"/>
        <v>0.2222222222</v>
      </c>
      <c r="N220" s="22">
        <f t="shared" si="64"/>
        <v>0.2245802355</v>
      </c>
      <c r="O220" s="22">
        <f t="shared" si="65"/>
        <v>0.5093078125</v>
      </c>
      <c r="P220" s="22">
        <f t="shared" si="9"/>
        <v>1.001929284</v>
      </c>
    </row>
    <row r="221">
      <c r="A221" s="18" t="s">
        <v>31</v>
      </c>
      <c r="B221" s="8" t="s">
        <v>92</v>
      </c>
      <c r="C221" s="8">
        <v>22.0</v>
      </c>
      <c r="D221" s="19">
        <v>0.88</v>
      </c>
      <c r="E221" s="21">
        <v>0.57</v>
      </c>
      <c r="F221" s="8">
        <v>0.004</v>
      </c>
      <c r="G221" s="21">
        <v>122.080182054999</v>
      </c>
      <c r="H221" s="22">
        <f t="shared" si="1"/>
        <v>0.3112</v>
      </c>
      <c r="I221" s="22">
        <f t="shared" si="2"/>
        <v>3.213367609</v>
      </c>
      <c r="J221" s="22">
        <f t="shared" si="3"/>
        <v>1.543859649</v>
      </c>
      <c r="K221" s="22">
        <f t="shared" si="4"/>
        <v>0.01264627578</v>
      </c>
      <c r="L221" s="22">
        <f t="shared" si="5"/>
        <v>1.802094298</v>
      </c>
      <c r="M221" s="22">
        <f t="shared" si="63"/>
        <v>0.2222222222</v>
      </c>
      <c r="N221" s="22">
        <f t="shared" si="64"/>
        <v>0.2017013707</v>
      </c>
      <c r="O221" s="22">
        <f t="shared" si="65"/>
        <v>0.5190043851</v>
      </c>
      <c r="P221" s="22">
        <f t="shared" si="9"/>
        <v>0.9832102124</v>
      </c>
    </row>
    <row r="222">
      <c r="A222" s="18" t="s">
        <v>31</v>
      </c>
      <c r="B222" s="8" t="s">
        <v>92</v>
      </c>
      <c r="C222" s="8">
        <v>23.0</v>
      </c>
      <c r="D222" s="19">
        <v>0.88</v>
      </c>
      <c r="E222" s="21">
        <v>0.49</v>
      </c>
      <c r="F222" s="8">
        <v>0.004</v>
      </c>
      <c r="G222" s="21">
        <v>103.932872966</v>
      </c>
      <c r="H222" s="22">
        <f t="shared" si="1"/>
        <v>0.3112</v>
      </c>
      <c r="I222" s="22">
        <f t="shared" si="2"/>
        <v>3.213367609</v>
      </c>
      <c r="J222" s="22">
        <f t="shared" si="3"/>
        <v>1.795918367</v>
      </c>
      <c r="K222" s="22">
        <f t="shared" si="4"/>
        <v>0.017279599</v>
      </c>
      <c r="L222" s="22">
        <f t="shared" si="5"/>
        <v>2.116750877</v>
      </c>
      <c r="M222" s="22">
        <f t="shared" si="63"/>
        <v>0.2222222222</v>
      </c>
      <c r="N222" s="22">
        <f t="shared" si="64"/>
        <v>0.1274686482</v>
      </c>
      <c r="O222" s="22">
        <f t="shared" si="65"/>
        <v>0.5531757198</v>
      </c>
      <c r="P222" s="22">
        <f t="shared" si="9"/>
        <v>0.9224743485</v>
      </c>
    </row>
    <row r="223">
      <c r="A223" s="18" t="s">
        <v>31</v>
      </c>
      <c r="B223" s="8" t="s">
        <v>92</v>
      </c>
      <c r="C223" s="8">
        <v>24.0</v>
      </c>
      <c r="D223" s="19">
        <v>0.88</v>
      </c>
      <c r="E223" s="21">
        <v>0.64</v>
      </c>
      <c r="F223" s="8">
        <v>0.005</v>
      </c>
      <c r="G223" s="21">
        <v>136.581417053</v>
      </c>
      <c r="H223" s="22">
        <f t="shared" si="1"/>
        <v>0.389</v>
      </c>
      <c r="I223" s="22">
        <f t="shared" si="2"/>
        <v>2.570694087</v>
      </c>
      <c r="J223" s="22">
        <f t="shared" si="3"/>
        <v>1.375</v>
      </c>
      <c r="K223" s="22">
        <f t="shared" si="4"/>
        <v>0.01006725534</v>
      </c>
      <c r="L223" s="22">
        <f t="shared" si="5"/>
        <v>1.288608683</v>
      </c>
      <c r="M223" s="22">
        <f t="shared" si="63"/>
        <v>0.3333333333</v>
      </c>
      <c r="N223" s="22">
        <f t="shared" si="64"/>
        <v>0.2610195951</v>
      </c>
      <c r="O223" s="22">
        <f t="shared" si="65"/>
        <v>0.4533746024</v>
      </c>
      <c r="P223" s="22">
        <f t="shared" si="9"/>
        <v>0.9457646963</v>
      </c>
    </row>
    <row r="224">
      <c r="A224" s="18" t="s">
        <v>31</v>
      </c>
      <c r="B224" s="8" t="s">
        <v>92</v>
      </c>
      <c r="C224" s="8">
        <v>25.0</v>
      </c>
      <c r="D224" s="19">
        <v>0.88</v>
      </c>
      <c r="E224" s="21">
        <v>1.32</v>
      </c>
      <c r="F224" s="8">
        <v>0.01</v>
      </c>
      <c r="G224" s="21">
        <v>281.883342457</v>
      </c>
      <c r="H224" s="22">
        <f t="shared" si="1"/>
        <v>0.778</v>
      </c>
      <c r="I224" s="22">
        <f t="shared" si="2"/>
        <v>1.285347044</v>
      </c>
      <c r="J224" s="22">
        <f t="shared" si="3"/>
        <v>0.6666666667</v>
      </c>
      <c r="K224" s="22">
        <f t="shared" si="4"/>
        <v>0.002365044564</v>
      </c>
      <c r="L224" s="22">
        <f t="shared" si="5"/>
        <v>0.3121858824</v>
      </c>
      <c r="M224" s="22">
        <f t="shared" si="63"/>
        <v>0.8888888889</v>
      </c>
      <c r="N224" s="22">
        <f t="shared" si="64"/>
        <v>0.855386366</v>
      </c>
      <c r="O224" s="22">
        <f t="shared" si="65"/>
        <v>0.2175088773</v>
      </c>
      <c r="P224" s="22">
        <f t="shared" si="9"/>
        <v>0.9822633702</v>
      </c>
    </row>
    <row r="225">
      <c r="A225" s="18" t="s">
        <v>31</v>
      </c>
      <c r="B225" s="8" t="s">
        <v>92</v>
      </c>
      <c r="C225" s="8">
        <v>26.0</v>
      </c>
      <c r="D225" s="19">
        <v>0.88</v>
      </c>
      <c r="E225" s="21">
        <v>0.52</v>
      </c>
      <c r="F225" s="8">
        <v>0.004</v>
      </c>
      <c r="G225" s="21">
        <v>111.800640137</v>
      </c>
      <c r="H225" s="22">
        <f t="shared" si="1"/>
        <v>0.3112</v>
      </c>
      <c r="I225" s="22">
        <f t="shared" si="2"/>
        <v>3.213367609</v>
      </c>
      <c r="J225" s="22">
        <f t="shared" si="3"/>
        <v>1.692307692</v>
      </c>
      <c r="K225" s="22">
        <f t="shared" si="4"/>
        <v>0.01513683366</v>
      </c>
      <c r="L225" s="22">
        <f t="shared" si="5"/>
        <v>1.967788375</v>
      </c>
      <c r="M225" s="22">
        <f t="shared" si="63"/>
        <v>0.2222222222</v>
      </c>
      <c r="N225" s="22">
        <f t="shared" si="64"/>
        <v>0.1596522504</v>
      </c>
      <c r="O225" s="22">
        <f t="shared" si="65"/>
        <v>0.5378235422</v>
      </c>
      <c r="P225" s="22">
        <f t="shared" si="9"/>
        <v>0.9488063867</v>
      </c>
    </row>
    <row r="226">
      <c r="A226" s="18" t="s">
        <v>31</v>
      </c>
      <c r="B226" s="8" t="s">
        <v>92</v>
      </c>
      <c r="C226" s="8">
        <v>27.0</v>
      </c>
      <c r="D226" s="19">
        <v>0.88</v>
      </c>
      <c r="E226" s="21">
        <v>0.74</v>
      </c>
      <c r="F226" s="8">
        <v>0.005</v>
      </c>
      <c r="G226" s="21">
        <v>158.428576309999</v>
      </c>
      <c r="H226" s="22">
        <f t="shared" si="1"/>
        <v>0.389</v>
      </c>
      <c r="I226" s="22">
        <f t="shared" si="2"/>
        <v>2.570694087</v>
      </c>
      <c r="J226" s="22">
        <f t="shared" si="3"/>
        <v>1.189189189</v>
      </c>
      <c r="K226" s="22">
        <f t="shared" si="4"/>
        <v>0.007506153352</v>
      </c>
      <c r="L226" s="22">
        <f t="shared" si="5"/>
        <v>1.110910696</v>
      </c>
      <c r="M226" s="22">
        <f t="shared" si="63"/>
        <v>0.3333333333</v>
      </c>
      <c r="N226" s="22">
        <f t="shared" si="64"/>
        <v>0.3503867901</v>
      </c>
      <c r="O226" s="22">
        <f t="shared" si="65"/>
        <v>0.4233707422</v>
      </c>
      <c r="P226" s="22">
        <f t="shared" si="9"/>
        <v>1.012790093</v>
      </c>
    </row>
    <row r="227">
      <c r="A227" s="18" t="s">
        <v>31</v>
      </c>
      <c r="B227" s="8" t="s">
        <v>92</v>
      </c>
      <c r="C227" s="8">
        <v>28.0</v>
      </c>
      <c r="D227" s="19">
        <v>0.88</v>
      </c>
      <c r="E227" s="21">
        <v>0.82</v>
      </c>
      <c r="F227" s="8">
        <v>0.006</v>
      </c>
      <c r="G227" s="21">
        <v>174.851412336999</v>
      </c>
      <c r="H227" s="22">
        <f t="shared" si="1"/>
        <v>0.4668</v>
      </c>
      <c r="I227" s="22">
        <f t="shared" si="2"/>
        <v>2.142245073</v>
      </c>
      <c r="J227" s="22">
        <f t="shared" si="3"/>
        <v>1.073170732</v>
      </c>
      <c r="K227" s="22">
        <f t="shared" si="4"/>
        <v>0.006137615461</v>
      </c>
      <c r="L227" s="22">
        <f t="shared" si="5"/>
        <v>0.8388074463</v>
      </c>
      <c r="M227" s="22">
        <f t="shared" si="63"/>
        <v>0.4444444444</v>
      </c>
      <c r="N227" s="22">
        <f t="shared" si="64"/>
        <v>0.4175654458</v>
      </c>
      <c r="O227" s="22">
        <f t="shared" si="65"/>
        <v>0.3722835086</v>
      </c>
      <c r="P227" s="22">
        <f t="shared" si="9"/>
        <v>0.9813914625</v>
      </c>
    </row>
    <row r="228">
      <c r="A228" s="18" t="s">
        <v>31</v>
      </c>
      <c r="B228" s="8" t="s">
        <v>92</v>
      </c>
      <c r="C228" s="8">
        <v>29.0</v>
      </c>
      <c r="D228" s="19">
        <v>0.88</v>
      </c>
      <c r="E228" s="21">
        <v>0.82</v>
      </c>
      <c r="F228" s="8">
        <v>0.006</v>
      </c>
      <c r="G228" s="21">
        <v>174.067382232</v>
      </c>
      <c r="H228" s="22">
        <f t="shared" si="1"/>
        <v>0.4668</v>
      </c>
      <c r="I228" s="22">
        <f t="shared" si="2"/>
        <v>2.142245073</v>
      </c>
      <c r="J228" s="22">
        <f t="shared" si="3"/>
        <v>1.073170732</v>
      </c>
      <c r="K228" s="22">
        <f t="shared" si="4"/>
        <v>0.00616526036</v>
      </c>
      <c r="L228" s="22">
        <f t="shared" si="5"/>
        <v>0.8425855826</v>
      </c>
      <c r="M228" s="22">
        <f t="shared" si="63"/>
        <v>0.4444444444</v>
      </c>
      <c r="N228" s="22">
        <f t="shared" si="64"/>
        <v>0.4143583208</v>
      </c>
      <c r="O228" s="22">
        <f t="shared" si="65"/>
        <v>0.3731276792</v>
      </c>
      <c r="P228" s="22">
        <f t="shared" si="9"/>
        <v>0.9791711451</v>
      </c>
    </row>
    <row r="229">
      <c r="A229" s="18" t="s">
        <v>31</v>
      </c>
      <c r="B229" s="8" t="s">
        <v>92</v>
      </c>
      <c r="C229" s="8">
        <v>30.0</v>
      </c>
      <c r="D229" s="19">
        <v>0.88</v>
      </c>
      <c r="E229" s="21">
        <v>0.84</v>
      </c>
      <c r="F229" s="8">
        <v>0.006</v>
      </c>
      <c r="G229" s="21">
        <v>179.251037232999</v>
      </c>
      <c r="H229" s="22">
        <f t="shared" si="1"/>
        <v>0.4668</v>
      </c>
      <c r="I229" s="22">
        <f t="shared" si="2"/>
        <v>2.142245073</v>
      </c>
      <c r="J229" s="22">
        <f t="shared" si="3"/>
        <v>1.047619048</v>
      </c>
      <c r="K229" s="22">
        <f t="shared" si="4"/>
        <v>0.005844423908</v>
      </c>
      <c r="L229" s="22">
        <f t="shared" si="5"/>
        <v>0.8182193472</v>
      </c>
      <c r="M229" s="22">
        <f t="shared" si="63"/>
        <v>0.4444444444</v>
      </c>
      <c r="N229" s="22">
        <f t="shared" si="64"/>
        <v>0.4355623914</v>
      </c>
      <c r="O229" s="22">
        <f t="shared" si="65"/>
        <v>0.3676163718</v>
      </c>
      <c r="P229" s="22">
        <f t="shared" si="9"/>
        <v>0.9938508863</v>
      </c>
    </row>
    <row r="230">
      <c r="A230" s="18" t="s">
        <v>31</v>
      </c>
      <c r="B230" s="8" t="s">
        <v>92</v>
      </c>
      <c r="C230" s="8">
        <v>31.0</v>
      </c>
      <c r="D230" s="19">
        <v>0.88</v>
      </c>
      <c r="E230" s="21">
        <v>0.77</v>
      </c>
      <c r="F230" s="8">
        <v>0.006</v>
      </c>
      <c r="G230" s="21">
        <v>163.782737741999</v>
      </c>
      <c r="H230" s="22">
        <f t="shared" si="1"/>
        <v>0.4668</v>
      </c>
      <c r="I230" s="22">
        <f t="shared" si="2"/>
        <v>2.142245073</v>
      </c>
      <c r="J230" s="22">
        <f t="shared" si="3"/>
        <v>1.142857143</v>
      </c>
      <c r="K230" s="22">
        <f t="shared" si="4"/>
        <v>0.006977885207</v>
      </c>
      <c r="L230" s="22">
        <f t="shared" si="5"/>
        <v>0.8954952682</v>
      </c>
      <c r="M230" s="22">
        <f t="shared" si="63"/>
        <v>0.4444444444</v>
      </c>
      <c r="N230" s="22">
        <f t="shared" si="64"/>
        <v>0.3722883281</v>
      </c>
      <c r="O230" s="22">
        <f t="shared" si="65"/>
        <v>0.3845665863</v>
      </c>
      <c r="P230" s="22">
        <f t="shared" si="9"/>
        <v>0.9500457656</v>
      </c>
    </row>
    <row r="231">
      <c r="A231" s="18" t="s">
        <v>31</v>
      </c>
      <c r="B231" s="8" t="s">
        <v>92</v>
      </c>
      <c r="C231" s="8">
        <v>32.0</v>
      </c>
      <c r="D231" s="19">
        <v>0.88</v>
      </c>
      <c r="E231" s="21">
        <v>0.97</v>
      </c>
      <c r="F231" s="8">
        <v>0.007</v>
      </c>
      <c r="G231" s="21">
        <v>206.980542695999</v>
      </c>
      <c r="H231" s="22">
        <f t="shared" si="1"/>
        <v>0.5446</v>
      </c>
      <c r="I231" s="22">
        <f t="shared" si="2"/>
        <v>1.836210062</v>
      </c>
      <c r="J231" s="22">
        <f t="shared" si="3"/>
        <v>0.9072164948</v>
      </c>
      <c r="K231" s="22">
        <f t="shared" si="4"/>
        <v>0.004383100378</v>
      </c>
      <c r="L231" s="22">
        <f t="shared" si="5"/>
        <v>0.6073724809</v>
      </c>
      <c r="M231" s="22">
        <f t="shared" si="63"/>
        <v>0.5555555556</v>
      </c>
      <c r="N231" s="22">
        <f t="shared" si="64"/>
        <v>0.5489916978</v>
      </c>
      <c r="O231" s="22">
        <f t="shared" si="65"/>
        <v>0.3163611483</v>
      </c>
      <c r="P231" s="22">
        <f t="shared" si="9"/>
        <v>0.9957803771</v>
      </c>
    </row>
    <row r="232">
      <c r="A232" s="18" t="s">
        <v>31</v>
      </c>
      <c r="B232" s="8" t="s">
        <v>92</v>
      </c>
      <c r="C232" s="8">
        <v>33.0</v>
      </c>
      <c r="D232" s="19">
        <v>0.88</v>
      </c>
      <c r="E232" s="21">
        <v>0.46</v>
      </c>
      <c r="F232" s="8">
        <v>0.003</v>
      </c>
      <c r="G232" s="21">
        <v>97.0523739760001</v>
      </c>
      <c r="H232" s="22">
        <f t="shared" si="1"/>
        <v>0.2334</v>
      </c>
      <c r="I232" s="22">
        <f t="shared" si="2"/>
        <v>4.284490146</v>
      </c>
      <c r="J232" s="22">
        <f t="shared" si="3"/>
        <v>1.913043478</v>
      </c>
      <c r="K232" s="22">
        <f t="shared" si="4"/>
        <v>0.01971145475</v>
      </c>
      <c r="L232" s="22">
        <f t="shared" si="5"/>
        <v>3.022423062</v>
      </c>
      <c r="M232" s="22">
        <f t="shared" si="63"/>
        <v>0.1111111111</v>
      </c>
      <c r="N232" s="22">
        <f t="shared" si="64"/>
        <v>0.09932352931</v>
      </c>
      <c r="O232" s="22">
        <f t="shared" si="65"/>
        <v>0.6240720687</v>
      </c>
      <c r="P232" s="22">
        <f t="shared" si="9"/>
        <v>0.9893911764</v>
      </c>
    </row>
    <row r="233">
      <c r="A233" s="18" t="s">
        <v>31</v>
      </c>
      <c r="B233" s="8" t="s">
        <v>94</v>
      </c>
      <c r="C233" s="8">
        <v>1.0</v>
      </c>
      <c r="D233" s="19">
        <v>0.88</v>
      </c>
      <c r="E233" s="21">
        <v>0.75</v>
      </c>
      <c r="F233" s="8">
        <v>0.005</v>
      </c>
      <c r="G233" s="21">
        <v>160.978063414999</v>
      </c>
      <c r="H233" s="22">
        <f t="shared" si="1"/>
        <v>0.389</v>
      </c>
      <c r="I233" s="22">
        <f t="shared" si="2"/>
        <v>2.570694087</v>
      </c>
      <c r="J233" s="22">
        <f t="shared" si="3"/>
        <v>1.173333333</v>
      </c>
      <c r="K233" s="22">
        <f t="shared" si="4"/>
        <v>0.00728877779</v>
      </c>
      <c r="L233" s="22">
        <f t="shared" si="5"/>
        <v>1.093316669</v>
      </c>
      <c r="M233" s="22">
        <f t="shared" si="63"/>
        <v>0.3333333333</v>
      </c>
      <c r="N233" s="22">
        <f t="shared" si="64"/>
        <v>0.3608156293</v>
      </c>
      <c r="O233" s="22">
        <f t="shared" si="65"/>
        <v>0.4201261694</v>
      </c>
      <c r="P233" s="22">
        <f t="shared" si="9"/>
        <v>1.020611722</v>
      </c>
    </row>
    <row r="234">
      <c r="A234" s="18" t="s">
        <v>31</v>
      </c>
      <c r="B234" s="8" t="s">
        <v>94</v>
      </c>
      <c r="C234" s="8">
        <v>2.0</v>
      </c>
      <c r="D234" s="19">
        <v>0.88</v>
      </c>
      <c r="E234" s="21">
        <v>0.5</v>
      </c>
      <c r="F234" s="8">
        <v>0.004</v>
      </c>
      <c r="G234" s="21">
        <v>106.591641794</v>
      </c>
      <c r="H234" s="22">
        <f t="shared" si="1"/>
        <v>0.3112</v>
      </c>
      <c r="I234" s="22">
        <f t="shared" si="2"/>
        <v>3.213367609</v>
      </c>
      <c r="J234" s="22">
        <f t="shared" si="3"/>
        <v>1.76</v>
      </c>
      <c r="K234" s="22">
        <f t="shared" si="4"/>
        <v>0.01651161358</v>
      </c>
      <c r="L234" s="22">
        <f t="shared" si="5"/>
        <v>2.063951697</v>
      </c>
      <c r="M234" s="22">
        <f t="shared" si="63"/>
        <v>0.2222222222</v>
      </c>
      <c r="N234" s="22">
        <f t="shared" si="64"/>
        <v>0.1383445113</v>
      </c>
      <c r="O234" s="22">
        <f t="shared" si="65"/>
        <v>0.5478906208</v>
      </c>
      <c r="P234" s="22">
        <f t="shared" si="9"/>
        <v>0.9313727819</v>
      </c>
    </row>
    <row r="235">
      <c r="A235" s="18" t="s">
        <v>31</v>
      </c>
      <c r="B235" s="8" t="s">
        <v>94</v>
      </c>
      <c r="C235" s="8">
        <v>3.0</v>
      </c>
      <c r="D235" s="19">
        <v>0.88</v>
      </c>
      <c r="E235" s="21">
        <v>0.4</v>
      </c>
      <c r="F235" s="8">
        <v>0.003</v>
      </c>
      <c r="G235" s="21">
        <v>86.024175044</v>
      </c>
      <c r="H235" s="22">
        <f t="shared" si="1"/>
        <v>0.2334</v>
      </c>
      <c r="I235" s="22">
        <f t="shared" si="2"/>
        <v>4.284490146</v>
      </c>
      <c r="J235" s="22">
        <f t="shared" si="3"/>
        <v>2.2</v>
      </c>
      <c r="K235" s="22">
        <f t="shared" si="4"/>
        <v>0.02557420631</v>
      </c>
      <c r="L235" s="22">
        <f t="shared" si="5"/>
        <v>3.409894174</v>
      </c>
      <c r="M235" s="22">
        <f t="shared" si="63"/>
        <v>0.1111111111</v>
      </c>
      <c r="N235" s="22">
        <f t="shared" si="64"/>
        <v>0.0542119799</v>
      </c>
      <c r="O235" s="22">
        <f t="shared" si="65"/>
        <v>0.6507771892</v>
      </c>
      <c r="P235" s="22">
        <f t="shared" si="9"/>
        <v>0.9487907819</v>
      </c>
    </row>
    <row r="236">
      <c r="A236" s="18" t="s">
        <v>31</v>
      </c>
      <c r="B236" s="8" t="s">
        <v>94</v>
      </c>
      <c r="C236" s="8">
        <v>4.0</v>
      </c>
      <c r="D236" s="19">
        <v>0.88</v>
      </c>
      <c r="E236" s="21">
        <v>0.39</v>
      </c>
      <c r="F236" s="8">
        <v>0.003</v>
      </c>
      <c r="G236" s="21">
        <v>83.2944576619997</v>
      </c>
      <c r="H236" s="22">
        <f t="shared" si="1"/>
        <v>0.2334</v>
      </c>
      <c r="I236" s="22">
        <f t="shared" si="2"/>
        <v>4.284490146</v>
      </c>
      <c r="J236" s="22">
        <f t="shared" si="3"/>
        <v>2.256410256</v>
      </c>
      <c r="K236" s="22">
        <f t="shared" si="4"/>
        <v>0.02708956058</v>
      </c>
      <c r="L236" s="22">
        <f t="shared" si="5"/>
        <v>3.521642875</v>
      </c>
      <c r="M236" s="22">
        <f t="shared" si="63"/>
        <v>0.1111111111</v>
      </c>
      <c r="N236" s="22">
        <f t="shared" si="64"/>
        <v>0.04304589727</v>
      </c>
      <c r="O236" s="22">
        <f t="shared" si="65"/>
        <v>0.6577439314</v>
      </c>
      <c r="P236" s="22">
        <f t="shared" si="9"/>
        <v>0.9387413075</v>
      </c>
    </row>
    <row r="237">
      <c r="A237" s="18" t="s">
        <v>31</v>
      </c>
      <c r="B237" s="8" t="s">
        <v>94</v>
      </c>
      <c r="C237" s="8">
        <v>5.0</v>
      </c>
      <c r="D237" s="19">
        <v>0.88</v>
      </c>
      <c r="E237" s="21">
        <v>0.5</v>
      </c>
      <c r="F237" s="8">
        <v>0.004</v>
      </c>
      <c r="G237" s="21">
        <v>107.071682263999</v>
      </c>
      <c r="H237" s="22">
        <f t="shared" si="1"/>
        <v>0.3112</v>
      </c>
      <c r="I237" s="22">
        <f t="shared" si="2"/>
        <v>3.213367609</v>
      </c>
      <c r="J237" s="22">
        <f t="shared" si="3"/>
        <v>1.76</v>
      </c>
      <c r="K237" s="22">
        <f t="shared" si="4"/>
        <v>0.01643758614</v>
      </c>
      <c r="L237" s="22">
        <f t="shared" si="5"/>
        <v>2.054698267</v>
      </c>
      <c r="M237" s="22">
        <f t="shared" si="63"/>
        <v>0.2222222222</v>
      </c>
      <c r="N237" s="22">
        <f t="shared" si="64"/>
        <v>0.1403081474</v>
      </c>
      <c r="O237" s="22">
        <f t="shared" si="65"/>
        <v>0.5469471409</v>
      </c>
      <c r="P237" s="22">
        <f t="shared" si="9"/>
        <v>0.9329793933</v>
      </c>
    </row>
    <row r="238">
      <c r="A238" s="18" t="s">
        <v>31</v>
      </c>
      <c r="B238" s="8" t="s">
        <v>94</v>
      </c>
      <c r="C238" s="8">
        <v>6.0</v>
      </c>
      <c r="D238" s="19">
        <v>0.88</v>
      </c>
      <c r="E238" s="21">
        <v>0.41</v>
      </c>
      <c r="F238" s="8">
        <v>0.003</v>
      </c>
      <c r="G238" s="21">
        <v>87.9911282109999</v>
      </c>
      <c r="H238" s="22">
        <f t="shared" si="1"/>
        <v>0.2334</v>
      </c>
      <c r="I238" s="22">
        <f t="shared" si="2"/>
        <v>4.284490146</v>
      </c>
      <c r="J238" s="22">
        <f t="shared" si="3"/>
        <v>2.146341463</v>
      </c>
      <c r="K238" s="22">
        <f t="shared" si="4"/>
        <v>0.02439270307</v>
      </c>
      <c r="L238" s="22">
        <f t="shared" si="5"/>
        <v>3.33366942</v>
      </c>
      <c r="M238" s="22">
        <f t="shared" si="63"/>
        <v>0.1111111111</v>
      </c>
      <c r="N238" s="22">
        <f t="shared" si="64"/>
        <v>0.06225792698</v>
      </c>
      <c r="O238" s="22">
        <f t="shared" si="65"/>
        <v>0.6458479543</v>
      </c>
      <c r="P238" s="22">
        <f t="shared" si="9"/>
        <v>0.9560321343</v>
      </c>
    </row>
    <row r="239">
      <c r="A239" s="18" t="s">
        <v>31</v>
      </c>
      <c r="B239" s="8" t="s">
        <v>94</v>
      </c>
      <c r="C239" s="8">
        <v>7.0</v>
      </c>
      <c r="D239" s="19">
        <v>0.88</v>
      </c>
      <c r="E239" s="21">
        <v>0.51</v>
      </c>
      <c r="F239" s="8">
        <v>0.004</v>
      </c>
      <c r="G239" s="21">
        <v>108.694970525999</v>
      </c>
      <c r="H239" s="22">
        <f t="shared" si="1"/>
        <v>0.3112</v>
      </c>
      <c r="I239" s="22">
        <f t="shared" si="2"/>
        <v>3.213367609</v>
      </c>
      <c r="J239" s="22">
        <f t="shared" si="3"/>
        <v>1.725490196</v>
      </c>
      <c r="K239" s="22">
        <f t="shared" si="4"/>
        <v>0.01587460936</v>
      </c>
      <c r="L239" s="22">
        <f t="shared" si="5"/>
        <v>2.024012693</v>
      </c>
      <c r="M239" s="22">
        <f t="shared" si="63"/>
        <v>0.2222222222</v>
      </c>
      <c r="N239" s="22">
        <f t="shared" si="64"/>
        <v>0.1469483113</v>
      </c>
      <c r="O239" s="22">
        <f t="shared" si="65"/>
        <v>0.543780635</v>
      </c>
      <c r="P239" s="22">
        <f t="shared" si="9"/>
        <v>0.9384122547</v>
      </c>
    </row>
    <row r="240">
      <c r="A240" s="18" t="s">
        <v>31</v>
      </c>
      <c r="B240" s="8" t="s">
        <v>94</v>
      </c>
      <c r="C240" s="8">
        <v>8.0</v>
      </c>
      <c r="D240" s="19">
        <v>0.88</v>
      </c>
      <c r="E240" s="21">
        <v>1.09</v>
      </c>
      <c r="F240" s="8">
        <v>0.008</v>
      </c>
      <c r="G240" s="21">
        <v>231.668661402999</v>
      </c>
      <c r="H240" s="22">
        <f t="shared" si="1"/>
        <v>0.6224</v>
      </c>
      <c r="I240" s="22">
        <f t="shared" si="2"/>
        <v>1.606683805</v>
      </c>
      <c r="J240" s="22">
        <f t="shared" si="3"/>
        <v>0.8073394495</v>
      </c>
      <c r="K240" s="22">
        <f t="shared" si="4"/>
        <v>0.003484888481</v>
      </c>
      <c r="L240" s="22">
        <f t="shared" si="5"/>
        <v>0.4748160555</v>
      </c>
      <c r="M240" s="22">
        <f t="shared" si="63"/>
        <v>0.6666666667</v>
      </c>
      <c r="N240" s="22">
        <f t="shared" si="64"/>
        <v>0.6499800182</v>
      </c>
      <c r="O240" s="22">
        <f t="shared" si="65"/>
        <v>0.2771981485</v>
      </c>
      <c r="P240" s="22">
        <f t="shared" si="9"/>
        <v>0.9899880109</v>
      </c>
    </row>
    <row r="241">
      <c r="A241" s="18" t="s">
        <v>31</v>
      </c>
      <c r="B241" s="8" t="s">
        <v>94</v>
      </c>
      <c r="C241" s="8">
        <v>9.0</v>
      </c>
      <c r="D241" s="19">
        <v>0.88</v>
      </c>
      <c r="E241" s="21">
        <v>0.39</v>
      </c>
      <c r="F241" s="8">
        <v>0.003</v>
      </c>
      <c r="G241" s="21">
        <v>83.6014124789999</v>
      </c>
      <c r="H241" s="22">
        <f t="shared" si="1"/>
        <v>0.2334</v>
      </c>
      <c r="I241" s="22">
        <f t="shared" si="2"/>
        <v>4.284490146</v>
      </c>
      <c r="J241" s="22">
        <f t="shared" si="3"/>
        <v>2.256410256</v>
      </c>
      <c r="K241" s="22">
        <f t="shared" si="4"/>
        <v>0.02699009729</v>
      </c>
      <c r="L241" s="22">
        <f t="shared" si="5"/>
        <v>3.508712648</v>
      </c>
      <c r="M241" s="22">
        <f t="shared" si="63"/>
        <v>0.1111111111</v>
      </c>
      <c r="N241" s="22">
        <f t="shared" si="64"/>
        <v>0.04430151547</v>
      </c>
      <c r="O241" s="22">
        <f t="shared" si="65"/>
        <v>0.6569530915</v>
      </c>
      <c r="P241" s="22">
        <f t="shared" si="9"/>
        <v>0.9398713639</v>
      </c>
    </row>
    <row r="242">
      <c r="A242" s="18" t="s">
        <v>31</v>
      </c>
      <c r="B242" s="8" t="s">
        <v>94</v>
      </c>
      <c r="C242" s="8">
        <v>10.0</v>
      </c>
      <c r="D242" s="19">
        <v>0.88</v>
      </c>
      <c r="E242" s="21">
        <v>0.48</v>
      </c>
      <c r="F242" s="8">
        <v>0.003</v>
      </c>
      <c r="G242" s="21">
        <v>101.460318647</v>
      </c>
      <c r="H242" s="22">
        <f t="shared" si="1"/>
        <v>0.2334</v>
      </c>
      <c r="I242" s="22">
        <f t="shared" si="2"/>
        <v>4.284490146</v>
      </c>
      <c r="J242" s="22">
        <f t="shared" si="3"/>
        <v>1.833333333</v>
      </c>
      <c r="K242" s="22">
        <f t="shared" si="4"/>
        <v>0.01806946162</v>
      </c>
      <c r="L242" s="22">
        <f t="shared" si="5"/>
        <v>2.891113859</v>
      </c>
      <c r="M242" s="22">
        <f t="shared" si="63"/>
        <v>0.1111111111</v>
      </c>
      <c r="N242" s="22">
        <f t="shared" si="64"/>
        <v>0.1173545075</v>
      </c>
      <c r="O242" s="22">
        <f t="shared" si="65"/>
        <v>0.6140012901</v>
      </c>
      <c r="P242" s="22">
        <f t="shared" si="9"/>
        <v>1.005619057</v>
      </c>
    </row>
    <row r="243">
      <c r="A243" s="18" t="s">
        <v>31</v>
      </c>
      <c r="B243" s="8" t="s">
        <v>94</v>
      </c>
      <c r="C243" s="8">
        <v>11.0</v>
      </c>
      <c r="D243" s="19">
        <v>0.88</v>
      </c>
      <c r="E243" s="21">
        <v>0.34</v>
      </c>
      <c r="F243" s="8">
        <v>0.002</v>
      </c>
      <c r="G243" s="21">
        <v>72.7712385660001</v>
      </c>
      <c r="H243" s="22">
        <f t="shared" si="1"/>
        <v>0.1556</v>
      </c>
      <c r="I243" s="22">
        <f t="shared" si="2"/>
        <v>6.426735219</v>
      </c>
      <c r="J243" s="22">
        <f t="shared" si="3"/>
        <v>2.588235294</v>
      </c>
      <c r="K243" s="22">
        <f t="shared" si="4"/>
        <v>0.03556673413</v>
      </c>
      <c r="L243" s="22">
        <f t="shared" si="5"/>
        <v>6.046344801</v>
      </c>
      <c r="M243" s="22">
        <f t="shared" si="63"/>
        <v>0</v>
      </c>
      <c r="N243" s="22">
        <f t="shared" si="64"/>
        <v>0</v>
      </c>
      <c r="O243" s="22">
        <f t="shared" si="65"/>
        <v>0.7622856768</v>
      </c>
      <c r="P243" s="22">
        <f t="shared" si="9"/>
        <v>1</v>
      </c>
    </row>
    <row r="244">
      <c r="A244" s="18" t="s">
        <v>31</v>
      </c>
      <c r="B244" s="8" t="s">
        <v>94</v>
      </c>
      <c r="C244" s="8">
        <v>12.0</v>
      </c>
      <c r="D244" s="19">
        <v>0.88</v>
      </c>
      <c r="E244" s="21">
        <v>0.76</v>
      </c>
      <c r="F244" s="8">
        <v>0.005</v>
      </c>
      <c r="G244" s="21">
        <v>161.483165778</v>
      </c>
      <c r="H244" s="22">
        <f t="shared" si="1"/>
        <v>0.389</v>
      </c>
      <c r="I244" s="22">
        <f t="shared" si="2"/>
        <v>2.570694087</v>
      </c>
      <c r="J244" s="22">
        <f t="shared" si="3"/>
        <v>1.157894737</v>
      </c>
      <c r="K244" s="22">
        <f t="shared" si="4"/>
        <v>0.007170374269</v>
      </c>
      <c r="L244" s="22">
        <f t="shared" si="5"/>
        <v>1.089896889</v>
      </c>
      <c r="M244" s="22">
        <f t="shared" si="63"/>
        <v>0.3333333333</v>
      </c>
      <c r="N244" s="22">
        <f t="shared" si="64"/>
        <v>0.3628817827</v>
      </c>
      <c r="O244" s="22">
        <f t="shared" si="65"/>
        <v>0.4194892505</v>
      </c>
      <c r="P244" s="22">
        <f t="shared" si="9"/>
        <v>1.022161337</v>
      </c>
    </row>
    <row r="245">
      <c r="A245" s="18" t="s">
        <v>31</v>
      </c>
      <c r="B245" s="8" t="s">
        <v>94</v>
      </c>
      <c r="C245" s="8">
        <v>13.0</v>
      </c>
      <c r="D245" s="19">
        <v>0.88</v>
      </c>
      <c r="E245" s="21">
        <v>0.39</v>
      </c>
      <c r="F245" s="8">
        <v>0.003</v>
      </c>
      <c r="G245" s="21">
        <v>82.3706122259996</v>
      </c>
      <c r="H245" s="22">
        <f t="shared" si="1"/>
        <v>0.2334</v>
      </c>
      <c r="I245" s="22">
        <f t="shared" si="2"/>
        <v>4.284490146</v>
      </c>
      <c r="J245" s="22">
        <f t="shared" si="3"/>
        <v>2.256410256</v>
      </c>
      <c r="K245" s="22">
        <f t="shared" si="4"/>
        <v>0.02739338941</v>
      </c>
      <c r="L245" s="22">
        <f t="shared" si="5"/>
        <v>3.561140623</v>
      </c>
      <c r="M245" s="22">
        <f t="shared" si="63"/>
        <v>0.1111111111</v>
      </c>
      <c r="N245" s="22">
        <f t="shared" si="64"/>
        <v>0.03926684873</v>
      </c>
      <c r="O245" s="22">
        <f t="shared" si="65"/>
        <v>0.6601356619</v>
      </c>
      <c r="P245" s="22">
        <f t="shared" si="9"/>
        <v>0.9353401639</v>
      </c>
    </row>
    <row r="246">
      <c r="A246" s="18" t="s">
        <v>31</v>
      </c>
      <c r="B246" s="8" t="s">
        <v>94</v>
      </c>
      <c r="C246" s="8">
        <v>14.0</v>
      </c>
      <c r="D246" s="19">
        <v>0.88</v>
      </c>
      <c r="E246" s="21">
        <v>0.52</v>
      </c>
      <c r="F246" s="8">
        <v>0.004</v>
      </c>
      <c r="G246" s="21">
        <v>110.996688030999</v>
      </c>
      <c r="H246" s="22">
        <f t="shared" si="1"/>
        <v>0.3112</v>
      </c>
      <c r="I246" s="22">
        <f t="shared" si="2"/>
        <v>3.213367609</v>
      </c>
      <c r="J246" s="22">
        <f t="shared" si="3"/>
        <v>1.692307692</v>
      </c>
      <c r="K246" s="22">
        <f t="shared" si="4"/>
        <v>0.01524647016</v>
      </c>
      <c r="L246" s="22">
        <f t="shared" si="5"/>
        <v>1.982041121</v>
      </c>
      <c r="M246" s="22">
        <f t="shared" si="63"/>
        <v>0.2222222222</v>
      </c>
      <c r="N246" s="22">
        <f t="shared" si="64"/>
        <v>0.1563636332</v>
      </c>
      <c r="O246" s="22">
        <f t="shared" si="65"/>
        <v>0.5393530747</v>
      </c>
      <c r="P246" s="22">
        <f t="shared" si="9"/>
        <v>0.9461156999</v>
      </c>
    </row>
    <row r="247">
      <c r="A247" s="18" t="s">
        <v>31</v>
      </c>
      <c r="B247" s="8" t="s">
        <v>94</v>
      </c>
      <c r="C247" s="8">
        <v>15.0</v>
      </c>
      <c r="D247" s="19">
        <v>0.88</v>
      </c>
      <c r="E247" s="21">
        <v>0.46</v>
      </c>
      <c r="F247" s="8">
        <v>0.003</v>
      </c>
      <c r="G247" s="21">
        <v>98.1019564060002</v>
      </c>
      <c r="H247" s="22">
        <f t="shared" si="1"/>
        <v>0.2334</v>
      </c>
      <c r="I247" s="22">
        <f t="shared" si="2"/>
        <v>4.284490146</v>
      </c>
      <c r="J247" s="22">
        <f t="shared" si="3"/>
        <v>1.913043478</v>
      </c>
      <c r="K247" s="22">
        <f t="shared" si="4"/>
        <v>0.01950056399</v>
      </c>
      <c r="L247" s="22">
        <f t="shared" si="5"/>
        <v>2.990086478</v>
      </c>
      <c r="M247" s="22">
        <f t="shared" si="63"/>
        <v>0.1111111111</v>
      </c>
      <c r="N247" s="22">
        <f t="shared" si="64"/>
        <v>0.103616913</v>
      </c>
      <c r="O247" s="22">
        <f t="shared" si="65"/>
        <v>0.6216442508</v>
      </c>
      <c r="P247" s="22">
        <f t="shared" si="9"/>
        <v>0.9932552217</v>
      </c>
    </row>
    <row r="248">
      <c r="A248" s="18" t="s">
        <v>31</v>
      </c>
      <c r="B248" s="8" t="s">
        <v>94</v>
      </c>
      <c r="C248" s="8">
        <v>16.0</v>
      </c>
      <c r="D248" s="19">
        <v>0.88</v>
      </c>
      <c r="E248" s="21">
        <v>0.37</v>
      </c>
      <c r="F248" s="8">
        <v>0.003</v>
      </c>
      <c r="G248" s="21">
        <v>78.5370209679999</v>
      </c>
      <c r="H248" s="22">
        <f t="shared" si="1"/>
        <v>0.2334</v>
      </c>
      <c r="I248" s="22">
        <f t="shared" si="2"/>
        <v>4.284490146</v>
      </c>
      <c r="J248" s="22">
        <f t="shared" si="3"/>
        <v>2.378378378</v>
      </c>
      <c r="K248" s="22">
        <f t="shared" si="4"/>
        <v>0.03028353188</v>
      </c>
      <c r="L248" s="22">
        <f t="shared" si="5"/>
        <v>3.734968932</v>
      </c>
      <c r="M248" s="22">
        <f t="shared" si="63"/>
        <v>0.1111111111</v>
      </c>
      <c r="N248" s="22">
        <f t="shared" si="64"/>
        <v>0.02358529977</v>
      </c>
      <c r="O248" s="22">
        <f t="shared" si="65"/>
        <v>0.6702490835</v>
      </c>
      <c r="P248" s="22">
        <f t="shared" si="9"/>
        <v>0.9212267698</v>
      </c>
    </row>
    <row r="249">
      <c r="A249" s="18" t="s">
        <v>31</v>
      </c>
      <c r="B249" s="8" t="s">
        <v>94</v>
      </c>
      <c r="C249" s="8">
        <v>17.0</v>
      </c>
      <c r="D249" s="19">
        <v>0.88</v>
      </c>
      <c r="E249" s="21">
        <v>0.45</v>
      </c>
      <c r="F249" s="8">
        <v>0.003</v>
      </c>
      <c r="G249" s="21">
        <v>95.4368831289998</v>
      </c>
      <c r="H249" s="22">
        <f t="shared" si="1"/>
        <v>0.2334</v>
      </c>
      <c r="I249" s="22">
        <f t="shared" si="2"/>
        <v>4.284490146</v>
      </c>
      <c r="J249" s="22">
        <f t="shared" si="3"/>
        <v>1.955555556</v>
      </c>
      <c r="K249" s="22">
        <f t="shared" si="4"/>
        <v>0.02049056394</v>
      </c>
      <c r="L249" s="22">
        <f t="shared" si="5"/>
        <v>3.07358459</v>
      </c>
      <c r="M249" s="22">
        <f t="shared" si="63"/>
        <v>0.1111111111</v>
      </c>
      <c r="N249" s="22">
        <f t="shared" si="64"/>
        <v>0.09271526122</v>
      </c>
      <c r="O249" s="22">
        <f t="shared" si="65"/>
        <v>0.627846186</v>
      </c>
      <c r="P249" s="22">
        <f t="shared" si="9"/>
        <v>0.9834437351</v>
      </c>
    </row>
    <row r="250">
      <c r="A250" s="18" t="s">
        <v>31</v>
      </c>
      <c r="B250" s="8" t="s">
        <v>94</v>
      </c>
      <c r="C250" s="8">
        <v>18.0</v>
      </c>
      <c r="D250" s="19">
        <v>0.88</v>
      </c>
      <c r="E250" s="21">
        <v>0.48</v>
      </c>
      <c r="F250" s="8">
        <v>0.003</v>
      </c>
      <c r="G250" s="21">
        <v>103.325523854</v>
      </c>
      <c r="H250" s="22">
        <f t="shared" si="1"/>
        <v>0.2334</v>
      </c>
      <c r="I250" s="22">
        <f t="shared" si="2"/>
        <v>4.284490146</v>
      </c>
      <c r="J250" s="22">
        <f t="shared" si="3"/>
        <v>1.833333333</v>
      </c>
      <c r="K250" s="22">
        <f t="shared" si="4"/>
        <v>0.01774327644</v>
      </c>
      <c r="L250" s="22">
        <f t="shared" si="5"/>
        <v>2.838924231</v>
      </c>
      <c r="M250" s="22">
        <f t="shared" si="63"/>
        <v>0.1111111111</v>
      </c>
      <c r="N250" s="22">
        <f t="shared" si="64"/>
        <v>0.124984248</v>
      </c>
      <c r="O250" s="22">
        <f t="shared" si="65"/>
        <v>0.6098370802</v>
      </c>
      <c r="P250" s="22">
        <f t="shared" si="9"/>
        <v>1.012485823</v>
      </c>
    </row>
    <row r="251">
      <c r="A251" s="18" t="s">
        <v>31</v>
      </c>
      <c r="B251" s="8" t="s">
        <v>94</v>
      </c>
      <c r="C251" s="8">
        <v>19.0</v>
      </c>
      <c r="D251" s="19">
        <v>0.88</v>
      </c>
      <c r="E251" s="21">
        <v>0.49</v>
      </c>
      <c r="F251" s="8">
        <v>0.004</v>
      </c>
      <c r="G251" s="21">
        <v>104.983923079</v>
      </c>
      <c r="H251" s="22">
        <f t="shared" si="1"/>
        <v>0.3112</v>
      </c>
      <c r="I251" s="22">
        <f t="shared" si="2"/>
        <v>3.213367609</v>
      </c>
      <c r="J251" s="22">
        <f t="shared" si="3"/>
        <v>1.795918367</v>
      </c>
      <c r="K251" s="22">
        <f t="shared" si="4"/>
        <v>0.0171066037</v>
      </c>
      <c r="L251" s="22">
        <f t="shared" si="5"/>
        <v>2.095558954</v>
      </c>
      <c r="M251" s="22">
        <f t="shared" si="63"/>
        <v>0.2222222222</v>
      </c>
      <c r="N251" s="22">
        <f t="shared" si="64"/>
        <v>0.1317680356</v>
      </c>
      <c r="O251" s="22">
        <f t="shared" si="65"/>
        <v>0.5510743027</v>
      </c>
      <c r="P251" s="22">
        <f t="shared" si="9"/>
        <v>0.9259920291</v>
      </c>
    </row>
    <row r="252">
      <c r="A252" s="18" t="s">
        <v>31</v>
      </c>
      <c r="B252" s="8" t="s">
        <v>94</v>
      </c>
      <c r="C252" s="8">
        <v>20.0</v>
      </c>
      <c r="D252" s="19">
        <v>0.88</v>
      </c>
      <c r="E252" s="21">
        <v>0.42</v>
      </c>
      <c r="F252" s="8">
        <v>0.003</v>
      </c>
      <c r="G252" s="21">
        <v>90.8466599020002</v>
      </c>
      <c r="H252" s="22">
        <f t="shared" si="1"/>
        <v>0.2334</v>
      </c>
      <c r="I252" s="22">
        <f t="shared" si="2"/>
        <v>4.284490146</v>
      </c>
      <c r="J252" s="22">
        <f t="shared" si="3"/>
        <v>2.095238095</v>
      </c>
      <c r="K252" s="22">
        <f t="shared" si="4"/>
        <v>0.02306345767</v>
      </c>
      <c r="L252" s="22">
        <f t="shared" si="5"/>
        <v>3.228884074</v>
      </c>
      <c r="M252" s="22">
        <f t="shared" si="63"/>
        <v>0.1111111111</v>
      </c>
      <c r="N252" s="22">
        <f t="shared" si="64"/>
        <v>0.07393866105</v>
      </c>
      <c r="O252" s="22">
        <f t="shared" si="65"/>
        <v>0.6388233648</v>
      </c>
      <c r="P252" s="22">
        <f t="shared" si="9"/>
        <v>0.9665447949</v>
      </c>
    </row>
    <row r="253">
      <c r="A253" s="18" t="s">
        <v>31</v>
      </c>
      <c r="B253" s="8" t="s">
        <v>94</v>
      </c>
      <c r="C253" s="8">
        <v>21.0</v>
      </c>
      <c r="D253" s="19">
        <v>0.88</v>
      </c>
      <c r="E253" s="21">
        <v>0.41</v>
      </c>
      <c r="F253" s="8">
        <v>0.003</v>
      </c>
      <c r="G253" s="21">
        <v>86.9665970660003</v>
      </c>
      <c r="H253" s="22">
        <f t="shared" si="1"/>
        <v>0.2334</v>
      </c>
      <c r="I253" s="22">
        <f t="shared" si="2"/>
        <v>4.284490146</v>
      </c>
      <c r="J253" s="22">
        <f t="shared" si="3"/>
        <v>2.146341463</v>
      </c>
      <c r="K253" s="22">
        <f t="shared" si="4"/>
        <v>0.02468006724</v>
      </c>
      <c r="L253" s="22">
        <f t="shared" si="5"/>
        <v>3.372942523</v>
      </c>
      <c r="M253" s="22">
        <f t="shared" si="63"/>
        <v>0.1111111111</v>
      </c>
      <c r="N253" s="22">
        <f t="shared" si="64"/>
        <v>0.05806701714</v>
      </c>
      <c r="O253" s="22">
        <f t="shared" si="65"/>
        <v>0.6484061009</v>
      </c>
      <c r="P253" s="22">
        <f t="shared" si="9"/>
        <v>0.9522603154</v>
      </c>
    </row>
    <row r="254">
      <c r="A254" s="18" t="s">
        <v>31</v>
      </c>
      <c r="B254" s="8" t="s">
        <v>94</v>
      </c>
      <c r="C254" s="8">
        <v>22.0</v>
      </c>
      <c r="D254" s="19">
        <v>0.88</v>
      </c>
      <c r="E254" s="21">
        <v>0.51</v>
      </c>
      <c r="F254" s="8">
        <v>0.004</v>
      </c>
      <c r="G254" s="21">
        <v>109.649496034</v>
      </c>
      <c r="H254" s="22">
        <f t="shared" si="1"/>
        <v>0.3112</v>
      </c>
      <c r="I254" s="22">
        <f t="shared" si="2"/>
        <v>3.213367609</v>
      </c>
      <c r="J254" s="22">
        <f t="shared" si="3"/>
        <v>1.725490196</v>
      </c>
      <c r="K254" s="22">
        <f t="shared" si="4"/>
        <v>0.01573641702</v>
      </c>
      <c r="L254" s="22">
        <f t="shared" si="5"/>
        <v>2.006393171</v>
      </c>
      <c r="M254" s="22">
        <f t="shared" si="63"/>
        <v>0.2222222222</v>
      </c>
      <c r="N254" s="22">
        <f t="shared" si="64"/>
        <v>0.1508528586</v>
      </c>
      <c r="O254" s="22">
        <f t="shared" si="65"/>
        <v>0.5419357273</v>
      </c>
      <c r="P254" s="22">
        <f t="shared" si="9"/>
        <v>0.9416068843</v>
      </c>
    </row>
    <row r="255">
      <c r="A255" s="18" t="s">
        <v>31</v>
      </c>
      <c r="B255" s="8" t="s">
        <v>94</v>
      </c>
      <c r="C255" s="8">
        <v>23.0</v>
      </c>
      <c r="D255" s="19">
        <v>0.88</v>
      </c>
      <c r="E255" s="21">
        <v>0.43</v>
      </c>
      <c r="F255" s="8">
        <v>0.003</v>
      </c>
      <c r="G255" s="21">
        <v>92.4644826940002</v>
      </c>
      <c r="H255" s="22">
        <f t="shared" si="1"/>
        <v>0.2334</v>
      </c>
      <c r="I255" s="22">
        <f t="shared" si="2"/>
        <v>4.284490146</v>
      </c>
      <c r="J255" s="22">
        <f t="shared" si="3"/>
        <v>2.046511628</v>
      </c>
      <c r="K255" s="22">
        <f t="shared" si="4"/>
        <v>0.02213294844</v>
      </c>
      <c r="L255" s="22">
        <f t="shared" si="5"/>
        <v>3.172389276</v>
      </c>
      <c r="M255" s="22">
        <f t="shared" si="63"/>
        <v>0.1111111111</v>
      </c>
      <c r="N255" s="22">
        <f t="shared" si="64"/>
        <v>0.08055646811</v>
      </c>
      <c r="O255" s="22">
        <f t="shared" si="65"/>
        <v>0.6349109272</v>
      </c>
      <c r="P255" s="22">
        <f t="shared" si="9"/>
        <v>0.9725008213</v>
      </c>
    </row>
    <row r="256">
      <c r="A256" s="18" t="s">
        <v>31</v>
      </c>
      <c r="B256" s="8" t="s">
        <v>94</v>
      </c>
      <c r="C256" s="8">
        <v>24.0</v>
      </c>
      <c r="D256" s="19">
        <v>0.88</v>
      </c>
      <c r="E256" s="21">
        <v>0.49</v>
      </c>
      <c r="F256" s="8">
        <v>0.004</v>
      </c>
      <c r="G256" s="21">
        <v>104.354685993</v>
      </c>
      <c r="H256" s="22">
        <f t="shared" si="1"/>
        <v>0.3112</v>
      </c>
      <c r="I256" s="22">
        <f t="shared" si="2"/>
        <v>3.213367609</v>
      </c>
      <c r="J256" s="22">
        <f t="shared" si="3"/>
        <v>1.795918367</v>
      </c>
      <c r="K256" s="22">
        <f t="shared" si="4"/>
        <v>0.01720975297</v>
      </c>
      <c r="L256" s="22">
        <f t="shared" si="5"/>
        <v>2.108194739</v>
      </c>
      <c r="M256" s="22">
        <f t="shared" si="63"/>
        <v>0.2222222222</v>
      </c>
      <c r="N256" s="22">
        <f t="shared" si="64"/>
        <v>0.1291941012</v>
      </c>
      <c r="O256" s="22">
        <f t="shared" si="65"/>
        <v>0.5523304455</v>
      </c>
      <c r="P256" s="22">
        <f t="shared" si="9"/>
        <v>0.9238860828</v>
      </c>
    </row>
    <row r="257">
      <c r="A257" s="18" t="s">
        <v>31</v>
      </c>
      <c r="B257" s="8" t="s">
        <v>94</v>
      </c>
      <c r="C257" s="8">
        <v>25.0</v>
      </c>
      <c r="D257" s="19">
        <v>0.88</v>
      </c>
      <c r="E257" s="21">
        <v>1.12</v>
      </c>
      <c r="F257" s="8">
        <v>0.008</v>
      </c>
      <c r="G257" s="21">
        <v>237.210977972999</v>
      </c>
      <c r="H257" s="22">
        <f t="shared" si="1"/>
        <v>0.6224</v>
      </c>
      <c r="I257" s="22">
        <f t="shared" si="2"/>
        <v>1.606683805</v>
      </c>
      <c r="J257" s="22">
        <f t="shared" si="3"/>
        <v>0.7857142857</v>
      </c>
      <c r="K257" s="22">
        <f t="shared" si="4"/>
        <v>0.003312301532</v>
      </c>
      <c r="L257" s="22">
        <f t="shared" si="5"/>
        <v>0.4637222145</v>
      </c>
      <c r="M257" s="22">
        <f t="shared" si="63"/>
        <v>0.6666666667</v>
      </c>
      <c r="N257" s="22">
        <f t="shared" si="64"/>
        <v>0.6726512167</v>
      </c>
      <c r="O257" s="22">
        <f t="shared" si="65"/>
        <v>0.2734409909</v>
      </c>
      <c r="P257" s="22">
        <f t="shared" si="9"/>
        <v>1.00359073</v>
      </c>
    </row>
    <row r="258">
      <c r="A258" s="18" t="s">
        <v>31</v>
      </c>
      <c r="B258" s="8" t="s">
        <v>94</v>
      </c>
      <c r="C258" s="8">
        <v>26.0</v>
      </c>
      <c r="D258" s="19">
        <v>0.88</v>
      </c>
      <c r="E258" s="21">
        <v>0.46</v>
      </c>
      <c r="F258" s="8">
        <v>0.003</v>
      </c>
      <c r="G258" s="21">
        <v>98.3133054079999</v>
      </c>
      <c r="H258" s="22">
        <f t="shared" si="1"/>
        <v>0.2334</v>
      </c>
      <c r="I258" s="22">
        <f t="shared" si="2"/>
        <v>4.284490146</v>
      </c>
      <c r="J258" s="22">
        <f t="shared" si="3"/>
        <v>1.913043478</v>
      </c>
      <c r="K258" s="22">
        <f t="shared" si="4"/>
        <v>0.01945864266</v>
      </c>
      <c r="L258" s="22">
        <f t="shared" si="5"/>
        <v>2.983658541</v>
      </c>
      <c r="M258" s="22">
        <f t="shared" si="63"/>
        <v>0.1111111111</v>
      </c>
      <c r="N258" s="22">
        <f t="shared" si="64"/>
        <v>0.1044814496</v>
      </c>
      <c r="O258" s="22">
        <f t="shared" si="65"/>
        <v>0.6211576567</v>
      </c>
      <c r="P258" s="22">
        <f t="shared" si="9"/>
        <v>0.9940333046</v>
      </c>
    </row>
    <row r="259">
      <c r="A259" s="18" t="s">
        <v>31</v>
      </c>
      <c r="B259" s="8" t="s">
        <v>94</v>
      </c>
      <c r="C259" s="8">
        <v>27.0</v>
      </c>
      <c r="D259" s="19">
        <v>0.88</v>
      </c>
      <c r="E259" s="21">
        <v>0.38</v>
      </c>
      <c r="F259" s="8">
        <v>0.003</v>
      </c>
      <c r="G259" s="21">
        <v>80.8784174780003</v>
      </c>
      <c r="H259" s="22">
        <f t="shared" si="1"/>
        <v>0.2334</v>
      </c>
      <c r="I259" s="22">
        <f t="shared" si="2"/>
        <v>4.284490146</v>
      </c>
      <c r="J259" s="22">
        <f t="shared" si="3"/>
        <v>2.315789474</v>
      </c>
      <c r="K259" s="22">
        <f t="shared" si="4"/>
        <v>0.02863297213</v>
      </c>
      <c r="L259" s="22">
        <f t="shared" si="5"/>
        <v>3.626843137</v>
      </c>
      <c r="M259" s="22">
        <f t="shared" si="63"/>
        <v>0.1111111111</v>
      </c>
      <c r="N259" s="22">
        <f t="shared" si="64"/>
        <v>0.03316293117</v>
      </c>
      <c r="O259" s="22">
        <f t="shared" si="65"/>
        <v>0.6640357376</v>
      </c>
      <c r="P259" s="22">
        <f t="shared" si="9"/>
        <v>0.9298466381</v>
      </c>
    </row>
    <row r="260">
      <c r="A260" s="18" t="s">
        <v>31</v>
      </c>
      <c r="B260" s="8" t="s">
        <v>94</v>
      </c>
      <c r="C260" s="8">
        <v>28.0</v>
      </c>
      <c r="D260" s="19">
        <v>0.88</v>
      </c>
      <c r="E260" s="21">
        <v>0.43</v>
      </c>
      <c r="F260" s="8">
        <v>0.003</v>
      </c>
      <c r="G260" s="21">
        <v>90.6259870370004</v>
      </c>
      <c r="H260" s="22">
        <f t="shared" si="1"/>
        <v>0.2334</v>
      </c>
      <c r="I260" s="22">
        <f t="shared" si="2"/>
        <v>4.284490146</v>
      </c>
      <c r="J260" s="22">
        <f t="shared" si="3"/>
        <v>2.046511628</v>
      </c>
      <c r="K260" s="22">
        <f t="shared" si="4"/>
        <v>0.02258195132</v>
      </c>
      <c r="L260" s="22">
        <f t="shared" si="5"/>
        <v>3.236746356</v>
      </c>
      <c r="M260" s="22">
        <f t="shared" si="63"/>
        <v>0.1111111111</v>
      </c>
      <c r="N260" s="22">
        <f t="shared" si="64"/>
        <v>0.07303598465</v>
      </c>
      <c r="O260" s="22">
        <f t="shared" si="65"/>
        <v>0.639360766</v>
      </c>
      <c r="P260" s="22">
        <f t="shared" si="9"/>
        <v>0.9657323862</v>
      </c>
    </row>
    <row r="261">
      <c r="A261" s="18" t="s">
        <v>31</v>
      </c>
      <c r="B261" s="8" t="s">
        <v>94</v>
      </c>
      <c r="C261" s="8">
        <v>29.0</v>
      </c>
      <c r="D261" s="19">
        <v>0.88</v>
      </c>
      <c r="E261" s="21">
        <v>0.42</v>
      </c>
      <c r="F261" s="8">
        <v>0.003</v>
      </c>
      <c r="G261" s="21">
        <v>89.6270410749994</v>
      </c>
      <c r="H261" s="22">
        <f t="shared" si="1"/>
        <v>0.2334</v>
      </c>
      <c r="I261" s="22">
        <f t="shared" si="2"/>
        <v>4.284490146</v>
      </c>
      <c r="J261" s="22">
        <f t="shared" si="3"/>
        <v>2.095238095</v>
      </c>
      <c r="K261" s="22">
        <f t="shared" si="4"/>
        <v>0.02337729853</v>
      </c>
      <c r="L261" s="22">
        <f t="shared" si="5"/>
        <v>3.272821794</v>
      </c>
      <c r="M261" s="22">
        <f t="shared" si="63"/>
        <v>0.1111111111</v>
      </c>
      <c r="N261" s="22">
        <f t="shared" si="64"/>
        <v>0.06894973263</v>
      </c>
      <c r="O261" s="22">
        <f t="shared" si="65"/>
        <v>0.6418048372</v>
      </c>
      <c r="P261" s="22">
        <f t="shared" si="9"/>
        <v>0.9620547594</v>
      </c>
    </row>
    <row r="262">
      <c r="A262" s="18" t="s">
        <v>31</v>
      </c>
      <c r="B262" s="8" t="s">
        <v>94</v>
      </c>
      <c r="C262" s="8">
        <v>30.0</v>
      </c>
      <c r="D262" s="19">
        <v>0.88</v>
      </c>
      <c r="E262" s="21">
        <v>0.4</v>
      </c>
      <c r="F262" s="8">
        <v>0.003</v>
      </c>
      <c r="G262" s="21">
        <v>86.2431717879999</v>
      </c>
      <c r="H262" s="22">
        <f t="shared" si="1"/>
        <v>0.2334</v>
      </c>
      <c r="I262" s="22">
        <f t="shared" si="2"/>
        <v>4.284490146</v>
      </c>
      <c r="J262" s="22">
        <f t="shared" si="3"/>
        <v>2.2</v>
      </c>
      <c r="K262" s="22">
        <f t="shared" si="4"/>
        <v>0.02550926589</v>
      </c>
      <c r="L262" s="22">
        <f t="shared" si="5"/>
        <v>3.401235451</v>
      </c>
      <c r="M262" s="22">
        <f t="shared" si="63"/>
        <v>0.1111111111</v>
      </c>
      <c r="N262" s="22">
        <f t="shared" si="64"/>
        <v>0.05510780001</v>
      </c>
      <c r="O262" s="22">
        <f t="shared" si="65"/>
        <v>0.6502246586</v>
      </c>
      <c r="P262" s="22">
        <f t="shared" si="9"/>
        <v>0.94959702</v>
      </c>
    </row>
    <row r="263">
      <c r="A263" s="18" t="s">
        <v>31</v>
      </c>
      <c r="B263" s="8" t="s">
        <v>94</v>
      </c>
      <c r="C263" s="8">
        <v>31.0</v>
      </c>
      <c r="D263" s="19">
        <v>0.88</v>
      </c>
      <c r="E263" s="21">
        <v>0.73</v>
      </c>
      <c r="F263" s="8">
        <v>0.005</v>
      </c>
      <c r="G263" s="21">
        <v>154.750858667999</v>
      </c>
      <c r="H263" s="22">
        <f t="shared" si="1"/>
        <v>0.389</v>
      </c>
      <c r="I263" s="22">
        <f t="shared" si="2"/>
        <v>2.570694087</v>
      </c>
      <c r="J263" s="22">
        <f t="shared" si="3"/>
        <v>1.205479452</v>
      </c>
      <c r="K263" s="22">
        <f t="shared" si="4"/>
        <v>0.00778980784</v>
      </c>
      <c r="L263" s="22">
        <f t="shared" si="5"/>
        <v>1.137311945</v>
      </c>
      <c r="M263" s="22">
        <f t="shared" si="63"/>
        <v>0.3333333333</v>
      </c>
      <c r="N263" s="22">
        <f t="shared" si="64"/>
        <v>0.3353428521</v>
      </c>
      <c r="O263" s="22">
        <f t="shared" si="65"/>
        <v>0.428140426</v>
      </c>
      <c r="P263" s="22">
        <f t="shared" si="9"/>
        <v>1.001507139</v>
      </c>
    </row>
    <row r="264">
      <c r="A264" s="18" t="s">
        <v>31</v>
      </c>
      <c r="B264" s="8" t="s">
        <v>94</v>
      </c>
      <c r="C264" s="8">
        <v>32.0</v>
      </c>
      <c r="D264" s="19">
        <v>0.88</v>
      </c>
      <c r="E264" s="21">
        <v>0.48</v>
      </c>
      <c r="F264" s="8">
        <v>0.003</v>
      </c>
      <c r="G264" s="21">
        <v>102.336300396999</v>
      </c>
      <c r="H264" s="22">
        <f t="shared" si="1"/>
        <v>0.2334</v>
      </c>
      <c r="I264" s="22">
        <f t="shared" si="2"/>
        <v>4.284490146</v>
      </c>
      <c r="J264" s="22">
        <f t="shared" si="3"/>
        <v>1.833333333</v>
      </c>
      <c r="K264" s="22">
        <f t="shared" si="4"/>
        <v>0.01791479002</v>
      </c>
      <c r="L264" s="22">
        <f t="shared" si="5"/>
        <v>2.866366404</v>
      </c>
      <c r="M264" s="22">
        <f t="shared" si="63"/>
        <v>0.1111111111</v>
      </c>
      <c r="N264" s="22">
        <f t="shared" si="64"/>
        <v>0.1209377665</v>
      </c>
      <c r="O264" s="22">
        <f t="shared" si="65"/>
        <v>0.6120385356</v>
      </c>
      <c r="P264" s="22">
        <f t="shared" si="9"/>
        <v>1.00884399</v>
      </c>
    </row>
    <row r="265">
      <c r="A265" s="18" t="s">
        <v>31</v>
      </c>
      <c r="B265" s="8" t="s">
        <v>94</v>
      </c>
      <c r="C265" s="8">
        <v>33.0</v>
      </c>
      <c r="D265" s="19">
        <v>0.88</v>
      </c>
      <c r="E265" s="21">
        <v>0.4</v>
      </c>
      <c r="F265" s="8">
        <v>0.003</v>
      </c>
      <c r="G265" s="21">
        <v>85.4221526599994</v>
      </c>
      <c r="H265" s="22">
        <f t="shared" si="1"/>
        <v>0.2334</v>
      </c>
      <c r="I265" s="22">
        <f t="shared" si="2"/>
        <v>4.284490146</v>
      </c>
      <c r="J265" s="22">
        <f t="shared" si="3"/>
        <v>2.2</v>
      </c>
      <c r="K265" s="22">
        <f t="shared" si="4"/>
        <v>0.02575444345</v>
      </c>
      <c r="L265" s="22">
        <f t="shared" si="5"/>
        <v>3.433925793</v>
      </c>
      <c r="M265" s="22">
        <f t="shared" si="63"/>
        <v>0.1111111111</v>
      </c>
      <c r="N265" s="22">
        <f t="shared" si="64"/>
        <v>0.05174936903</v>
      </c>
      <c r="O265" s="22">
        <f t="shared" si="65"/>
        <v>0.6523009467</v>
      </c>
      <c r="P265" s="22">
        <f t="shared" si="9"/>
        <v>0.9465744321</v>
      </c>
    </row>
    <row r="266">
      <c r="A266" s="8" t="s">
        <v>38</v>
      </c>
      <c r="B266" s="8" t="s">
        <v>30</v>
      </c>
      <c r="C266" s="8">
        <v>1.0</v>
      </c>
      <c r="D266" s="55">
        <v>0.89</v>
      </c>
      <c r="E266" s="20">
        <v>1.47</v>
      </c>
      <c r="F266" s="8">
        <v>0.005</v>
      </c>
      <c r="G266" s="21">
        <v>163.122252781</v>
      </c>
      <c r="H266" s="22">
        <f t="shared" si="1"/>
        <v>0.389</v>
      </c>
      <c r="I266" s="22">
        <f t="shared" si="2"/>
        <v>2.570694087</v>
      </c>
      <c r="J266" s="22">
        <f t="shared" si="3"/>
        <v>0.6054421769</v>
      </c>
      <c r="K266" s="22">
        <f t="shared" si="4"/>
        <v>0.003711585431</v>
      </c>
      <c r="L266" s="22">
        <f t="shared" si="5"/>
        <v>1.091206117</v>
      </c>
      <c r="M266" s="22">
        <f t="shared" ref="M266:M397" si="85">(H266-MIN($H$266:$H$397))/(MAX($H$266:$H$397)-MIN($H$266:$H$397))</f>
        <v>0.2857142857</v>
      </c>
      <c r="N266" s="22">
        <f t="shared" ref="N266:N397" si="86">(G266-MIN($G$266:$G$397))/(MAX($G$266:$G$397)-MIN($G$266:$G$397))</f>
        <v>0.3196841181</v>
      </c>
      <c r="O266" s="22">
        <f t="shared" ref="O266:O397" si="87">0.89*(1/(1+M266))*(1/(1+N266))*(1-0.08824265904)</f>
        <v>0.4782498206</v>
      </c>
      <c r="P266" s="22">
        <f t="shared" si="9"/>
        <v>1.026420981</v>
      </c>
    </row>
    <row r="267">
      <c r="A267" s="8" t="s">
        <v>38</v>
      </c>
      <c r="B267" s="8" t="s">
        <v>30</v>
      </c>
      <c r="C267" s="8">
        <v>2.0</v>
      </c>
      <c r="D267" s="55">
        <v>0.89</v>
      </c>
      <c r="E267" s="27">
        <v>1.46</v>
      </c>
      <c r="F267" s="8">
        <v>0.005</v>
      </c>
      <c r="G267" s="21">
        <v>161.107846858999</v>
      </c>
      <c r="H267" s="22">
        <f t="shared" si="1"/>
        <v>0.389</v>
      </c>
      <c r="I267" s="22">
        <f t="shared" si="2"/>
        <v>2.570694087</v>
      </c>
      <c r="J267" s="22">
        <f t="shared" si="3"/>
        <v>0.6095890411</v>
      </c>
      <c r="K267" s="22">
        <f t="shared" si="4"/>
        <v>0.003783732779</v>
      </c>
      <c r="L267" s="22">
        <f t="shared" si="5"/>
        <v>1.104849971</v>
      </c>
      <c r="M267" s="22">
        <f t="shared" si="85"/>
        <v>0.2857142857</v>
      </c>
      <c r="N267" s="22">
        <f t="shared" si="86"/>
        <v>0.3093109453</v>
      </c>
      <c r="O267" s="22">
        <f t="shared" si="87"/>
        <v>0.4820388121</v>
      </c>
      <c r="P267" s="22">
        <f t="shared" si="9"/>
        <v>1.018352957</v>
      </c>
    </row>
    <row r="268">
      <c r="A268" s="8" t="s">
        <v>38</v>
      </c>
      <c r="B268" s="8" t="s">
        <v>30</v>
      </c>
      <c r="C268" s="8">
        <v>3.0</v>
      </c>
      <c r="D268" s="55">
        <v>0.89</v>
      </c>
      <c r="E268" s="20">
        <v>1.51</v>
      </c>
      <c r="F268" s="8">
        <v>0.006</v>
      </c>
      <c r="G268" s="21">
        <v>167.133217663999</v>
      </c>
      <c r="H268" s="22">
        <f t="shared" si="1"/>
        <v>0.4668</v>
      </c>
      <c r="I268" s="22">
        <f t="shared" si="2"/>
        <v>2.142245073</v>
      </c>
      <c r="J268" s="22">
        <f t="shared" si="3"/>
        <v>0.5894039735</v>
      </c>
      <c r="K268" s="22">
        <f t="shared" si="4"/>
        <v>0.003526551943</v>
      </c>
      <c r="L268" s="22">
        <f t="shared" si="5"/>
        <v>0.8875155723</v>
      </c>
      <c r="M268" s="22">
        <f t="shared" si="85"/>
        <v>0.4285714286</v>
      </c>
      <c r="N268" s="22">
        <f t="shared" si="86"/>
        <v>0.340338561</v>
      </c>
      <c r="O268" s="22">
        <f t="shared" si="87"/>
        <v>0.4237920477</v>
      </c>
      <c r="P268" s="22">
        <f t="shared" si="9"/>
        <v>0.9382369927</v>
      </c>
    </row>
    <row r="269">
      <c r="A269" s="8" t="s">
        <v>38</v>
      </c>
      <c r="B269" s="8" t="s">
        <v>30</v>
      </c>
      <c r="C269" s="8">
        <v>4.0</v>
      </c>
      <c r="D269" s="55">
        <v>0.89</v>
      </c>
      <c r="E269" s="27">
        <v>1.46</v>
      </c>
      <c r="F269" s="8">
        <v>0.005</v>
      </c>
      <c r="G269" s="21">
        <v>161.246697060999</v>
      </c>
      <c r="H269" s="22">
        <f t="shared" si="1"/>
        <v>0.389</v>
      </c>
      <c r="I269" s="22">
        <f t="shared" si="2"/>
        <v>2.570694087</v>
      </c>
      <c r="J269" s="22">
        <f t="shared" si="3"/>
        <v>0.6095890411</v>
      </c>
      <c r="K269" s="22">
        <f t="shared" si="4"/>
        <v>0.003780474591</v>
      </c>
      <c r="L269" s="22">
        <f t="shared" si="5"/>
        <v>1.103898581</v>
      </c>
      <c r="M269" s="22">
        <f t="shared" si="85"/>
        <v>0.2857142857</v>
      </c>
      <c r="N269" s="22">
        <f t="shared" si="86"/>
        <v>0.3100259537</v>
      </c>
      <c r="O269" s="22">
        <f t="shared" si="87"/>
        <v>0.4817757167</v>
      </c>
      <c r="P269" s="22">
        <f t="shared" si="9"/>
        <v>1.018909075</v>
      </c>
    </row>
    <row r="270">
      <c r="A270" s="8" t="s">
        <v>38</v>
      </c>
      <c r="B270" s="8" t="s">
        <v>30</v>
      </c>
      <c r="C270" s="8">
        <v>5.0</v>
      </c>
      <c r="D270" s="55">
        <v>0.89</v>
      </c>
      <c r="E270" s="20">
        <v>1.68</v>
      </c>
      <c r="F270" s="8">
        <v>0.006</v>
      </c>
      <c r="G270" s="21">
        <v>185.49639939</v>
      </c>
      <c r="H270" s="22">
        <f t="shared" si="1"/>
        <v>0.4668</v>
      </c>
      <c r="I270" s="22">
        <f t="shared" si="2"/>
        <v>2.142245073</v>
      </c>
      <c r="J270" s="22">
        <f t="shared" si="3"/>
        <v>0.5297619048</v>
      </c>
      <c r="K270" s="22">
        <f t="shared" si="4"/>
        <v>0.002855914759</v>
      </c>
      <c r="L270" s="22">
        <f t="shared" si="5"/>
        <v>0.7996561325</v>
      </c>
      <c r="M270" s="22">
        <f t="shared" si="85"/>
        <v>0.4285714286</v>
      </c>
      <c r="N270" s="22">
        <f t="shared" si="86"/>
        <v>0.4348996699</v>
      </c>
      <c r="O270" s="22">
        <f t="shared" si="87"/>
        <v>0.3958637913</v>
      </c>
      <c r="P270" s="22">
        <f t="shared" si="9"/>
        <v>1.004429769</v>
      </c>
    </row>
    <row r="271">
      <c r="A271" s="8" t="s">
        <v>38</v>
      </c>
      <c r="B271" s="8" t="s">
        <v>30</v>
      </c>
      <c r="C271" s="8">
        <v>6.0</v>
      </c>
      <c r="D271" s="55">
        <v>0.89</v>
      </c>
      <c r="E271" s="27">
        <v>1.75</v>
      </c>
      <c r="F271" s="8">
        <v>0.007</v>
      </c>
      <c r="G271" s="21">
        <v>193.812428448</v>
      </c>
      <c r="H271" s="22">
        <f t="shared" si="1"/>
        <v>0.5446</v>
      </c>
      <c r="I271" s="22">
        <f t="shared" si="2"/>
        <v>1.836210062</v>
      </c>
      <c r="J271" s="22">
        <f t="shared" si="3"/>
        <v>0.5085714286</v>
      </c>
      <c r="K271" s="22">
        <f t="shared" si="4"/>
        <v>0.002624039297</v>
      </c>
      <c r="L271" s="22">
        <f t="shared" si="5"/>
        <v>0.6560098243</v>
      </c>
      <c r="M271" s="22">
        <f t="shared" si="85"/>
        <v>0.5714285714</v>
      </c>
      <c r="N271" s="22">
        <f t="shared" si="86"/>
        <v>0.4777230184</v>
      </c>
      <c r="O271" s="22">
        <f t="shared" si="87"/>
        <v>0.3494472216</v>
      </c>
      <c r="P271" s="22">
        <f t="shared" si="9"/>
        <v>0.9403691935</v>
      </c>
    </row>
    <row r="272">
      <c r="A272" s="8" t="s">
        <v>38</v>
      </c>
      <c r="B272" s="8" t="s">
        <v>30</v>
      </c>
      <c r="C272" s="8">
        <v>7.0</v>
      </c>
      <c r="D272" s="55">
        <v>0.89</v>
      </c>
      <c r="E272" s="20">
        <v>1.8</v>
      </c>
      <c r="F272" s="8">
        <v>0.007</v>
      </c>
      <c r="G272" s="21">
        <v>198.467910909</v>
      </c>
      <c r="H272" s="22">
        <f t="shared" si="1"/>
        <v>0.5446</v>
      </c>
      <c r="I272" s="22">
        <f t="shared" si="2"/>
        <v>1.836210062</v>
      </c>
      <c r="J272" s="22">
        <f t="shared" si="3"/>
        <v>0.4944444444</v>
      </c>
      <c r="K272" s="22">
        <f t="shared" si="4"/>
        <v>0.002491306742</v>
      </c>
      <c r="L272" s="22">
        <f t="shared" si="5"/>
        <v>0.6406217336</v>
      </c>
      <c r="M272" s="22">
        <f t="shared" si="85"/>
        <v>0.5714285714</v>
      </c>
      <c r="N272" s="22">
        <f t="shared" si="86"/>
        <v>0.5016964011</v>
      </c>
      <c r="O272" s="22">
        <f t="shared" si="87"/>
        <v>0.343868576</v>
      </c>
      <c r="P272" s="22">
        <f t="shared" si="9"/>
        <v>0.9556249825</v>
      </c>
    </row>
    <row r="273">
      <c r="A273" s="8" t="s">
        <v>38</v>
      </c>
      <c r="B273" s="8" t="s">
        <v>30</v>
      </c>
      <c r="C273" s="8">
        <v>8.0</v>
      </c>
      <c r="D273" s="55">
        <v>0.89</v>
      </c>
      <c r="E273" s="27">
        <v>1.58</v>
      </c>
      <c r="F273" s="8">
        <v>0.006</v>
      </c>
      <c r="G273" s="21">
        <v>174.779793993</v>
      </c>
      <c r="H273" s="22">
        <f t="shared" si="1"/>
        <v>0.4668</v>
      </c>
      <c r="I273" s="22">
        <f t="shared" si="2"/>
        <v>2.142245073</v>
      </c>
      <c r="J273" s="22">
        <f t="shared" si="3"/>
        <v>0.5632911392</v>
      </c>
      <c r="K273" s="22">
        <f t="shared" si="4"/>
        <v>0.003222861902</v>
      </c>
      <c r="L273" s="22">
        <f t="shared" si="5"/>
        <v>0.8486869674</v>
      </c>
      <c r="M273" s="22">
        <f t="shared" si="85"/>
        <v>0.4285714286</v>
      </c>
      <c r="N273" s="22">
        <f t="shared" si="86"/>
        <v>0.3797145661</v>
      </c>
      <c r="O273" s="22">
        <f t="shared" si="87"/>
        <v>0.4116973448</v>
      </c>
      <c r="P273" s="22">
        <f t="shared" si="9"/>
        <v>0.9658001962</v>
      </c>
    </row>
    <row r="274">
      <c r="A274" s="8" t="s">
        <v>38</v>
      </c>
      <c r="B274" s="8" t="s">
        <v>30</v>
      </c>
      <c r="C274" s="8">
        <v>9.0</v>
      </c>
      <c r="D274" s="55">
        <v>0.89</v>
      </c>
      <c r="E274" s="20">
        <v>1.52</v>
      </c>
      <c r="F274" s="8">
        <v>0.006</v>
      </c>
      <c r="G274" s="21">
        <v>168.100933126</v>
      </c>
      <c r="H274" s="22">
        <f t="shared" si="1"/>
        <v>0.4668</v>
      </c>
      <c r="I274" s="22">
        <f t="shared" si="2"/>
        <v>2.142245073</v>
      </c>
      <c r="J274" s="22">
        <f t="shared" si="3"/>
        <v>0.5855263158</v>
      </c>
      <c r="K274" s="22">
        <f t="shared" si="4"/>
        <v>0.003483183019</v>
      </c>
      <c r="L274" s="22">
        <f t="shared" si="5"/>
        <v>0.8824063649</v>
      </c>
      <c r="M274" s="22">
        <f t="shared" si="85"/>
        <v>0.4285714286</v>
      </c>
      <c r="N274" s="22">
        <f t="shared" si="86"/>
        <v>0.3453218067</v>
      </c>
      <c r="O274" s="22">
        <f t="shared" si="87"/>
        <v>0.4222222673</v>
      </c>
      <c r="P274" s="22">
        <f t="shared" si="9"/>
        <v>0.9417252647</v>
      </c>
    </row>
    <row r="275">
      <c r="A275" s="8" t="s">
        <v>38</v>
      </c>
      <c r="B275" s="8" t="s">
        <v>30</v>
      </c>
      <c r="C275" s="8">
        <v>10.0</v>
      </c>
      <c r="D275" s="55">
        <v>0.89</v>
      </c>
      <c r="E275" s="27">
        <v>1.61</v>
      </c>
      <c r="F275" s="8">
        <v>0.006</v>
      </c>
      <c r="G275" s="21">
        <v>177.862770788</v>
      </c>
      <c r="H275" s="22">
        <f t="shared" si="1"/>
        <v>0.4668</v>
      </c>
      <c r="I275" s="22">
        <f t="shared" si="2"/>
        <v>2.142245073</v>
      </c>
      <c r="J275" s="22">
        <f t="shared" si="3"/>
        <v>0.5527950311</v>
      </c>
      <c r="K275" s="22">
        <f t="shared" si="4"/>
        <v>0.003107986166</v>
      </c>
      <c r="L275" s="22">
        <f t="shared" si="5"/>
        <v>0.8339762879</v>
      </c>
      <c r="M275" s="22">
        <f t="shared" si="85"/>
        <v>0.4285714286</v>
      </c>
      <c r="N275" s="22">
        <f t="shared" si="86"/>
        <v>0.3955903391</v>
      </c>
      <c r="O275" s="22">
        <f t="shared" si="87"/>
        <v>0.4070140123</v>
      </c>
      <c r="P275" s="22">
        <f t="shared" si="9"/>
        <v>0.9769132373</v>
      </c>
    </row>
    <row r="276">
      <c r="A276" s="8" t="s">
        <v>38</v>
      </c>
      <c r="B276" s="8" t="s">
        <v>30</v>
      </c>
      <c r="C276" s="8">
        <v>11.0</v>
      </c>
      <c r="D276" s="55">
        <v>0.89</v>
      </c>
      <c r="E276" s="20">
        <v>1.48</v>
      </c>
      <c r="F276" s="8">
        <v>0.006</v>
      </c>
      <c r="G276" s="21">
        <v>164.156919396999</v>
      </c>
      <c r="H276" s="22">
        <f t="shared" si="1"/>
        <v>0.4668</v>
      </c>
      <c r="I276" s="22">
        <f t="shared" si="2"/>
        <v>2.142245073</v>
      </c>
      <c r="J276" s="22">
        <f t="shared" si="3"/>
        <v>0.6013513514</v>
      </c>
      <c r="K276" s="22">
        <f t="shared" si="4"/>
        <v>0.003663271421</v>
      </c>
      <c r="L276" s="22">
        <f t="shared" si="5"/>
        <v>0.9036069505</v>
      </c>
      <c r="M276" s="22">
        <f t="shared" si="85"/>
        <v>0.4285714286</v>
      </c>
      <c r="N276" s="22">
        <f t="shared" si="86"/>
        <v>0.3250121285</v>
      </c>
      <c r="O276" s="22">
        <f t="shared" si="87"/>
        <v>0.4286940559</v>
      </c>
      <c r="P276" s="22">
        <f t="shared" si="9"/>
        <v>0.9275084899</v>
      </c>
    </row>
    <row r="277">
      <c r="A277" s="8" t="s">
        <v>38</v>
      </c>
      <c r="B277" s="8" t="s">
        <v>30</v>
      </c>
      <c r="C277" s="8">
        <v>12.0</v>
      </c>
      <c r="D277" s="55">
        <v>0.89</v>
      </c>
      <c r="E277" s="27">
        <v>1.53</v>
      </c>
      <c r="F277" s="8">
        <v>0.006</v>
      </c>
      <c r="G277" s="21">
        <v>169.137601634</v>
      </c>
      <c r="H277" s="22">
        <f t="shared" si="1"/>
        <v>0.4668</v>
      </c>
      <c r="I277" s="22">
        <f t="shared" si="2"/>
        <v>2.142245073</v>
      </c>
      <c r="J277" s="22">
        <f t="shared" si="3"/>
        <v>0.5816993464</v>
      </c>
      <c r="K277" s="22">
        <f t="shared" si="4"/>
        <v>0.003439207727</v>
      </c>
      <c r="L277" s="22">
        <f t="shared" si="5"/>
        <v>0.8769979703</v>
      </c>
      <c r="M277" s="22">
        <f t="shared" si="85"/>
        <v>0.4285714286</v>
      </c>
      <c r="N277" s="22">
        <f t="shared" si="86"/>
        <v>0.3506601258</v>
      </c>
      <c r="O277" s="22">
        <f t="shared" si="87"/>
        <v>0.4205534853</v>
      </c>
      <c r="P277" s="22">
        <f t="shared" si="9"/>
        <v>0.9454620881</v>
      </c>
    </row>
    <row r="278">
      <c r="A278" s="8" t="s">
        <v>38</v>
      </c>
      <c r="B278" s="8" t="s">
        <v>30</v>
      </c>
      <c r="C278" s="8">
        <v>13.0</v>
      </c>
      <c r="D278" s="55">
        <v>0.89</v>
      </c>
      <c r="E278" s="20">
        <v>1.37</v>
      </c>
      <c r="F278" s="8">
        <v>0.005</v>
      </c>
      <c r="G278" s="21">
        <v>151.637109659</v>
      </c>
      <c r="H278" s="22">
        <f t="shared" si="1"/>
        <v>0.389</v>
      </c>
      <c r="I278" s="22">
        <f t="shared" si="2"/>
        <v>2.570694087</v>
      </c>
      <c r="J278" s="22">
        <f t="shared" si="3"/>
        <v>0.6496350365</v>
      </c>
      <c r="K278" s="22">
        <f t="shared" si="4"/>
        <v>0.004284142833</v>
      </c>
      <c r="L278" s="22">
        <f t="shared" si="5"/>
        <v>1.173855136</v>
      </c>
      <c r="M278" s="22">
        <f t="shared" si="85"/>
        <v>0.2857142857</v>
      </c>
      <c r="N278" s="22">
        <f t="shared" si="86"/>
        <v>0.2605414332</v>
      </c>
      <c r="O278" s="22">
        <f t="shared" si="87"/>
        <v>0.500688574</v>
      </c>
      <c r="P278" s="22">
        <f t="shared" si="9"/>
        <v>0.9804211147</v>
      </c>
    </row>
    <row r="279">
      <c r="A279" s="8" t="s">
        <v>38</v>
      </c>
      <c r="B279" s="8" t="s">
        <v>30</v>
      </c>
      <c r="C279" s="8">
        <v>14.0</v>
      </c>
      <c r="D279" s="55">
        <v>0.89</v>
      </c>
      <c r="E279" s="27">
        <v>1.96</v>
      </c>
      <c r="F279" s="8">
        <v>0.007</v>
      </c>
      <c r="G279" s="21">
        <v>216.223280336999</v>
      </c>
      <c r="H279" s="22">
        <f t="shared" si="1"/>
        <v>0.5446</v>
      </c>
      <c r="I279" s="22">
        <f t="shared" si="2"/>
        <v>1.836210062</v>
      </c>
      <c r="J279" s="22">
        <f t="shared" si="3"/>
        <v>0.4540816327</v>
      </c>
      <c r="K279" s="22">
        <f t="shared" si="4"/>
        <v>0.002100058939</v>
      </c>
      <c r="L279" s="22">
        <f t="shared" si="5"/>
        <v>0.5880165029</v>
      </c>
      <c r="M279" s="22">
        <f t="shared" si="85"/>
        <v>0.5714285714</v>
      </c>
      <c r="N279" s="22">
        <f t="shared" si="86"/>
        <v>0.5931275838</v>
      </c>
      <c r="O279" s="22">
        <f t="shared" si="87"/>
        <v>0.3241336151</v>
      </c>
      <c r="P279" s="22">
        <f t="shared" si="9"/>
        <v>1.013808462</v>
      </c>
    </row>
    <row r="280">
      <c r="A280" s="8" t="s">
        <v>38</v>
      </c>
      <c r="B280" s="8" t="s">
        <v>30</v>
      </c>
      <c r="C280" s="8">
        <v>15.0</v>
      </c>
      <c r="D280" s="55">
        <v>0.89</v>
      </c>
      <c r="E280" s="20">
        <v>1.54</v>
      </c>
      <c r="F280" s="8">
        <v>0.006</v>
      </c>
      <c r="G280" s="21">
        <v>170.558409717</v>
      </c>
      <c r="H280" s="22">
        <f t="shared" si="1"/>
        <v>0.4668</v>
      </c>
      <c r="I280" s="22">
        <f t="shared" si="2"/>
        <v>2.142245073</v>
      </c>
      <c r="J280" s="22">
        <f t="shared" si="3"/>
        <v>0.5779220779</v>
      </c>
      <c r="K280" s="22">
        <f t="shared" si="4"/>
        <v>0.003388411506</v>
      </c>
      <c r="L280" s="22">
        <f t="shared" si="5"/>
        <v>0.8696922865</v>
      </c>
      <c r="M280" s="22">
        <f t="shared" si="85"/>
        <v>0.4285714286</v>
      </c>
      <c r="N280" s="22">
        <f t="shared" si="86"/>
        <v>0.3579765696</v>
      </c>
      <c r="O280" s="22">
        <f t="shared" si="87"/>
        <v>0.4182876466</v>
      </c>
      <c r="P280" s="22">
        <f t="shared" si="9"/>
        <v>0.9505835988</v>
      </c>
    </row>
    <row r="281">
      <c r="A281" s="8" t="s">
        <v>38</v>
      </c>
      <c r="B281" s="8" t="s">
        <v>30</v>
      </c>
      <c r="C281" s="8">
        <v>16.0</v>
      </c>
      <c r="D281" s="55">
        <v>0.89</v>
      </c>
      <c r="E281" s="27">
        <v>1.85</v>
      </c>
      <c r="F281" s="8">
        <v>0.007</v>
      </c>
      <c r="G281" s="21">
        <v>203.902317625</v>
      </c>
      <c r="H281" s="22">
        <f t="shared" si="1"/>
        <v>0.5446</v>
      </c>
      <c r="I281" s="22">
        <f t="shared" si="2"/>
        <v>1.836210062</v>
      </c>
      <c r="J281" s="22">
        <f t="shared" si="3"/>
        <v>0.4810810811</v>
      </c>
      <c r="K281" s="22">
        <f t="shared" si="4"/>
        <v>0.002359370343</v>
      </c>
      <c r="L281" s="22">
        <f t="shared" si="5"/>
        <v>0.6235478764</v>
      </c>
      <c r="M281" s="22">
        <f t="shared" si="85"/>
        <v>0.5714285714</v>
      </c>
      <c r="N281" s="22">
        <f t="shared" si="86"/>
        <v>0.5296808503</v>
      </c>
      <c r="O281" s="22">
        <f t="shared" si="87"/>
        <v>0.3375777392</v>
      </c>
      <c r="P281" s="22">
        <f t="shared" si="9"/>
        <v>0.9734332684</v>
      </c>
    </row>
    <row r="282">
      <c r="A282" s="8" t="s">
        <v>38</v>
      </c>
      <c r="B282" s="8" t="s">
        <v>30</v>
      </c>
      <c r="C282" s="8">
        <v>17.0</v>
      </c>
      <c r="D282" s="55">
        <v>0.89</v>
      </c>
      <c r="E282" s="20">
        <v>1.52</v>
      </c>
      <c r="F282" s="8">
        <v>0.006</v>
      </c>
      <c r="G282" s="21">
        <v>168.046795004999</v>
      </c>
      <c r="H282" s="22">
        <f t="shared" si="1"/>
        <v>0.4668</v>
      </c>
      <c r="I282" s="22">
        <f t="shared" si="2"/>
        <v>2.142245073</v>
      </c>
      <c r="J282" s="22">
        <f t="shared" si="3"/>
        <v>0.5855263158</v>
      </c>
      <c r="K282" s="22">
        <f t="shared" si="4"/>
        <v>0.003484305165</v>
      </c>
      <c r="L282" s="22">
        <f t="shared" si="5"/>
        <v>0.8826906418</v>
      </c>
      <c r="M282" s="22">
        <f t="shared" si="85"/>
        <v>0.4285714286</v>
      </c>
      <c r="N282" s="22">
        <f t="shared" si="86"/>
        <v>0.3450430227</v>
      </c>
      <c r="O282" s="22">
        <f t="shared" si="87"/>
        <v>0.4223097803</v>
      </c>
      <c r="P282" s="22">
        <f t="shared" si="9"/>
        <v>0.9415301159</v>
      </c>
    </row>
    <row r="283">
      <c r="A283" s="8" t="s">
        <v>38</v>
      </c>
      <c r="B283" s="8" t="s">
        <v>30</v>
      </c>
      <c r="C283" s="8">
        <v>18.0</v>
      </c>
      <c r="D283" s="55">
        <v>0.89</v>
      </c>
      <c r="E283" s="27">
        <v>1.62</v>
      </c>
      <c r="F283" s="8">
        <v>0.006</v>
      </c>
      <c r="G283" s="21">
        <v>179.618349805</v>
      </c>
      <c r="H283" s="22">
        <f t="shared" si="1"/>
        <v>0.4668</v>
      </c>
      <c r="I283" s="22">
        <f t="shared" si="2"/>
        <v>2.142245073</v>
      </c>
      <c r="J283" s="22">
        <f t="shared" si="3"/>
        <v>0.549382716</v>
      </c>
      <c r="K283" s="22">
        <f t="shared" si="4"/>
        <v>0.003058611309</v>
      </c>
      <c r="L283" s="22">
        <f t="shared" si="5"/>
        <v>0.8258250535</v>
      </c>
      <c r="M283" s="22">
        <f t="shared" si="85"/>
        <v>0.4285714286</v>
      </c>
      <c r="N283" s="22">
        <f t="shared" si="86"/>
        <v>0.4046306841</v>
      </c>
      <c r="O283" s="22">
        <f t="shared" si="87"/>
        <v>0.404394429</v>
      </c>
      <c r="P283" s="22">
        <f t="shared" si="9"/>
        <v>0.9832414789</v>
      </c>
    </row>
    <row r="284">
      <c r="A284" s="8" t="s">
        <v>38</v>
      </c>
      <c r="B284" s="8" t="s">
        <v>30</v>
      </c>
      <c r="C284" s="8">
        <v>19.0</v>
      </c>
      <c r="D284" s="55">
        <v>0.89</v>
      </c>
      <c r="E284" s="20">
        <v>1.88</v>
      </c>
      <c r="F284" s="8">
        <v>0.007</v>
      </c>
      <c r="G284" s="21">
        <v>208.115625935</v>
      </c>
      <c r="H284" s="22">
        <f t="shared" si="1"/>
        <v>0.5446</v>
      </c>
      <c r="I284" s="22">
        <f t="shared" si="2"/>
        <v>1.836210062</v>
      </c>
      <c r="J284" s="22">
        <f t="shared" si="3"/>
        <v>0.4734042553</v>
      </c>
      <c r="K284" s="22">
        <f t="shared" si="4"/>
        <v>0.002274717495</v>
      </c>
      <c r="L284" s="22">
        <f t="shared" si="5"/>
        <v>0.6109241273</v>
      </c>
      <c r="M284" s="22">
        <f t="shared" si="85"/>
        <v>0.5714285714</v>
      </c>
      <c r="N284" s="22">
        <f t="shared" si="86"/>
        <v>0.5513772595</v>
      </c>
      <c r="O284" s="22">
        <f t="shared" si="87"/>
        <v>0.3328566278</v>
      </c>
      <c r="P284" s="22">
        <f t="shared" si="9"/>
        <v>0.9872400743</v>
      </c>
    </row>
    <row r="285">
      <c r="A285" s="8" t="s">
        <v>38</v>
      </c>
      <c r="B285" s="8" t="s">
        <v>30</v>
      </c>
      <c r="C285" s="8">
        <v>20.0</v>
      </c>
      <c r="D285" s="55">
        <v>0.89</v>
      </c>
      <c r="E285" s="27">
        <v>1.41</v>
      </c>
      <c r="F285" s="8">
        <v>0.005</v>
      </c>
      <c r="G285" s="21">
        <v>156.284142416</v>
      </c>
      <c r="H285" s="22">
        <f t="shared" si="1"/>
        <v>0.389</v>
      </c>
      <c r="I285" s="22">
        <f t="shared" si="2"/>
        <v>2.570694087</v>
      </c>
      <c r="J285" s="22">
        <f t="shared" si="3"/>
        <v>0.6312056738</v>
      </c>
      <c r="K285" s="22">
        <f t="shared" si="4"/>
        <v>0.004038833781</v>
      </c>
      <c r="L285" s="22">
        <f t="shared" si="5"/>
        <v>1.138951126</v>
      </c>
      <c r="M285" s="22">
        <f t="shared" si="85"/>
        <v>0.2857142857</v>
      </c>
      <c r="N285" s="22">
        <f t="shared" si="86"/>
        <v>0.2844713043</v>
      </c>
      <c r="O285" s="22">
        <f t="shared" si="87"/>
        <v>0.4913606794</v>
      </c>
      <c r="P285" s="22">
        <f t="shared" si="9"/>
        <v>0.9990332367</v>
      </c>
    </row>
    <row r="286">
      <c r="A286" s="8" t="s">
        <v>38</v>
      </c>
      <c r="B286" s="8" t="s">
        <v>30</v>
      </c>
      <c r="C286" s="8">
        <v>21.0</v>
      </c>
      <c r="D286" s="55">
        <v>0.89</v>
      </c>
      <c r="E286" s="20">
        <v>1.77</v>
      </c>
      <c r="F286" s="8">
        <v>0.007</v>
      </c>
      <c r="G286" s="21">
        <v>195.830866598999</v>
      </c>
      <c r="H286" s="22">
        <f t="shared" si="1"/>
        <v>0.5446</v>
      </c>
      <c r="I286" s="22">
        <f t="shared" si="2"/>
        <v>1.836210062</v>
      </c>
      <c r="J286" s="22">
        <f t="shared" si="3"/>
        <v>0.5028248588</v>
      </c>
      <c r="K286" s="22">
        <f t="shared" si="4"/>
        <v>0.002567648642</v>
      </c>
      <c r="L286" s="22">
        <f t="shared" si="5"/>
        <v>0.6492482996</v>
      </c>
      <c r="M286" s="22">
        <f t="shared" si="85"/>
        <v>0.5714285714</v>
      </c>
      <c r="N286" s="22">
        <f t="shared" si="86"/>
        <v>0.4881169551</v>
      </c>
      <c r="O286" s="22">
        <f t="shared" si="87"/>
        <v>0.3470064643</v>
      </c>
      <c r="P286" s="22">
        <f t="shared" si="9"/>
        <v>0.9469835169</v>
      </c>
    </row>
    <row r="287">
      <c r="A287" s="8" t="s">
        <v>38</v>
      </c>
      <c r="B287" s="8" t="s">
        <v>30</v>
      </c>
      <c r="C287" s="8">
        <v>22.0</v>
      </c>
      <c r="D287" s="55">
        <v>0.89</v>
      </c>
      <c r="E287" s="27">
        <v>1.51</v>
      </c>
      <c r="F287" s="8">
        <v>0.006</v>
      </c>
      <c r="G287" s="21">
        <v>166.916552734</v>
      </c>
      <c r="H287" s="22">
        <f t="shared" si="1"/>
        <v>0.4668</v>
      </c>
      <c r="I287" s="22">
        <f t="shared" si="2"/>
        <v>2.142245073</v>
      </c>
      <c r="J287" s="22">
        <f t="shared" si="3"/>
        <v>0.5894039735</v>
      </c>
      <c r="K287" s="22">
        <f t="shared" si="4"/>
        <v>0.003531129561</v>
      </c>
      <c r="L287" s="22">
        <f t="shared" si="5"/>
        <v>0.8886676061</v>
      </c>
      <c r="M287" s="22">
        <f t="shared" si="85"/>
        <v>0.4285714286</v>
      </c>
      <c r="N287" s="22">
        <f t="shared" si="86"/>
        <v>0.339222846</v>
      </c>
      <c r="O287" s="22">
        <f t="shared" si="87"/>
        <v>0.4241451116</v>
      </c>
      <c r="P287" s="22">
        <f t="shared" si="9"/>
        <v>0.9374559922</v>
      </c>
    </row>
    <row r="288">
      <c r="A288" s="8" t="s">
        <v>38</v>
      </c>
      <c r="B288" s="8" t="s">
        <v>30</v>
      </c>
      <c r="C288" s="8">
        <v>23.0</v>
      </c>
      <c r="D288" s="55">
        <v>0.89</v>
      </c>
      <c r="E288" s="20">
        <v>1.65</v>
      </c>
      <c r="F288" s="8">
        <v>0.006</v>
      </c>
      <c r="G288" s="21">
        <v>182.428873341</v>
      </c>
      <c r="H288" s="22">
        <f t="shared" si="1"/>
        <v>0.4668</v>
      </c>
      <c r="I288" s="22">
        <f t="shared" si="2"/>
        <v>2.142245073</v>
      </c>
      <c r="J288" s="22">
        <f t="shared" si="3"/>
        <v>0.5393939394</v>
      </c>
      <c r="K288" s="22">
        <f t="shared" si="4"/>
        <v>0.002956735573</v>
      </c>
      <c r="L288" s="22">
        <f t="shared" si="5"/>
        <v>0.8131022826</v>
      </c>
      <c r="M288" s="22">
        <f t="shared" si="85"/>
        <v>0.4285714286</v>
      </c>
      <c r="N288" s="22">
        <f t="shared" si="86"/>
        <v>0.4191034604</v>
      </c>
      <c r="O288" s="22">
        <f t="shared" si="87"/>
        <v>0.4002701982</v>
      </c>
      <c r="P288" s="22">
        <f t="shared" si="9"/>
        <v>0.9933724223</v>
      </c>
    </row>
    <row r="289">
      <c r="A289" s="8" t="s">
        <v>38</v>
      </c>
      <c r="B289" s="8" t="s">
        <v>30</v>
      </c>
      <c r="C289" s="8">
        <v>24.0</v>
      </c>
      <c r="D289" s="55">
        <v>0.89</v>
      </c>
      <c r="E289" s="27">
        <v>2.23</v>
      </c>
      <c r="F289" s="8">
        <v>0.008</v>
      </c>
      <c r="G289" s="21">
        <v>245.904192087</v>
      </c>
      <c r="H289" s="22">
        <f t="shared" si="1"/>
        <v>0.6224</v>
      </c>
      <c r="I289" s="22">
        <f t="shared" si="2"/>
        <v>1.606683805</v>
      </c>
      <c r="J289" s="22">
        <f t="shared" si="3"/>
        <v>0.399103139</v>
      </c>
      <c r="K289" s="22">
        <f t="shared" si="4"/>
        <v>0.001623002583</v>
      </c>
      <c r="L289" s="22">
        <f t="shared" si="5"/>
        <v>0.4524119701</v>
      </c>
      <c r="M289" s="22">
        <f t="shared" si="85"/>
        <v>0.7142857143</v>
      </c>
      <c r="N289" s="22">
        <f t="shared" si="86"/>
        <v>0.7459692847</v>
      </c>
      <c r="O289" s="22">
        <f t="shared" si="87"/>
        <v>0.2711124552</v>
      </c>
      <c r="P289" s="22">
        <f t="shared" si="9"/>
        <v>1.018482083</v>
      </c>
    </row>
    <row r="290">
      <c r="A290" s="8" t="s">
        <v>38</v>
      </c>
      <c r="B290" s="8" t="s">
        <v>30</v>
      </c>
      <c r="C290" s="8">
        <v>25.0</v>
      </c>
      <c r="D290" s="55">
        <v>0.89</v>
      </c>
      <c r="E290" s="20">
        <v>1.91</v>
      </c>
      <c r="F290" s="8">
        <v>0.007</v>
      </c>
      <c r="G290" s="21">
        <v>211.646059848</v>
      </c>
      <c r="H290" s="22">
        <f t="shared" si="1"/>
        <v>0.5446</v>
      </c>
      <c r="I290" s="22">
        <f t="shared" si="2"/>
        <v>1.836210062</v>
      </c>
      <c r="J290" s="22">
        <f t="shared" si="3"/>
        <v>0.4659685864</v>
      </c>
      <c r="K290" s="22">
        <f t="shared" si="4"/>
        <v>0.002201640733</v>
      </c>
      <c r="L290" s="22">
        <f t="shared" si="5"/>
        <v>0.6007334001</v>
      </c>
      <c r="M290" s="22">
        <f t="shared" si="85"/>
        <v>0.5714285714</v>
      </c>
      <c r="N290" s="22">
        <f t="shared" si="86"/>
        <v>0.5695572106</v>
      </c>
      <c r="O290" s="22">
        <f t="shared" si="87"/>
        <v>0.3290011983</v>
      </c>
      <c r="P290" s="22">
        <f t="shared" si="9"/>
        <v>0.998809134</v>
      </c>
    </row>
    <row r="291">
      <c r="A291" s="8" t="s">
        <v>38</v>
      </c>
      <c r="B291" s="8" t="s">
        <v>30</v>
      </c>
      <c r="C291" s="8">
        <v>26.0</v>
      </c>
      <c r="D291" s="55">
        <v>0.89</v>
      </c>
      <c r="E291" s="27">
        <v>1.67</v>
      </c>
      <c r="F291" s="8">
        <v>0.006</v>
      </c>
      <c r="G291" s="21">
        <v>184.798758965</v>
      </c>
      <c r="H291" s="22">
        <f t="shared" si="1"/>
        <v>0.4668</v>
      </c>
      <c r="I291" s="22">
        <f t="shared" si="2"/>
        <v>2.142245073</v>
      </c>
      <c r="J291" s="22">
        <f t="shared" si="3"/>
        <v>0.5329341317</v>
      </c>
      <c r="K291" s="22">
        <f t="shared" si="4"/>
        <v>0.002883862071</v>
      </c>
      <c r="L291" s="22">
        <f t="shared" si="5"/>
        <v>0.8026749431</v>
      </c>
      <c r="M291" s="22">
        <f t="shared" si="85"/>
        <v>0.4285714286</v>
      </c>
      <c r="N291" s="22">
        <f t="shared" si="86"/>
        <v>0.4313071742</v>
      </c>
      <c r="O291" s="22">
        <f t="shared" si="87"/>
        <v>0.3968573858</v>
      </c>
      <c r="P291" s="22">
        <f t="shared" si="9"/>
        <v>1.001915022</v>
      </c>
    </row>
    <row r="292">
      <c r="A292" s="8" t="s">
        <v>38</v>
      </c>
      <c r="B292" s="8" t="s">
        <v>30</v>
      </c>
      <c r="C292" s="8">
        <v>27.0</v>
      </c>
      <c r="D292" s="55">
        <v>0.89</v>
      </c>
      <c r="E292" s="20">
        <v>1.38</v>
      </c>
      <c r="F292" s="8">
        <v>0.005</v>
      </c>
      <c r="G292" s="21">
        <v>152.423835105999</v>
      </c>
      <c r="H292" s="22">
        <f t="shared" si="1"/>
        <v>0.389</v>
      </c>
      <c r="I292" s="22">
        <f t="shared" si="2"/>
        <v>2.570694087</v>
      </c>
      <c r="J292" s="22">
        <f t="shared" si="3"/>
        <v>0.6449275362</v>
      </c>
      <c r="K292" s="22">
        <f t="shared" si="4"/>
        <v>0.004231146236</v>
      </c>
      <c r="L292" s="22">
        <f t="shared" si="5"/>
        <v>1.167796361</v>
      </c>
      <c r="M292" s="22">
        <f t="shared" si="85"/>
        <v>0.2857142857</v>
      </c>
      <c r="N292" s="22">
        <f t="shared" si="86"/>
        <v>0.2645926719</v>
      </c>
      <c r="O292" s="22">
        <f t="shared" si="87"/>
        <v>0.4990845722</v>
      </c>
      <c r="P292" s="22">
        <f t="shared" si="9"/>
        <v>0.9835720781</v>
      </c>
    </row>
    <row r="293">
      <c r="A293" s="8" t="s">
        <v>38</v>
      </c>
      <c r="B293" s="8" t="s">
        <v>30</v>
      </c>
      <c r="C293" s="8">
        <v>28.0</v>
      </c>
      <c r="D293" s="55">
        <v>0.89</v>
      </c>
      <c r="E293" s="27">
        <v>1.22</v>
      </c>
      <c r="F293" s="8">
        <v>0.005</v>
      </c>
      <c r="G293" s="21">
        <v>134.530839496999</v>
      </c>
      <c r="H293" s="22">
        <f t="shared" si="1"/>
        <v>0.389</v>
      </c>
      <c r="I293" s="22">
        <f t="shared" si="2"/>
        <v>2.570694087</v>
      </c>
      <c r="J293" s="22">
        <f t="shared" si="3"/>
        <v>0.7295081967</v>
      </c>
      <c r="K293" s="22">
        <f t="shared" si="4"/>
        <v>0.005422609414</v>
      </c>
      <c r="L293" s="22">
        <f t="shared" si="5"/>
        <v>1.323116697</v>
      </c>
      <c r="M293" s="22">
        <f t="shared" si="85"/>
        <v>0.2857142857</v>
      </c>
      <c r="N293" s="22">
        <f t="shared" si="86"/>
        <v>0.1724527839</v>
      </c>
      <c r="O293" s="22">
        <f t="shared" si="87"/>
        <v>0.5383062767</v>
      </c>
      <c r="P293" s="22">
        <f t="shared" si="9"/>
        <v>0.9119077208</v>
      </c>
    </row>
    <row r="294">
      <c r="A294" s="8" t="s">
        <v>38</v>
      </c>
      <c r="B294" s="8" t="s">
        <v>30</v>
      </c>
      <c r="C294" s="8">
        <v>29.0</v>
      </c>
      <c r="D294" s="55">
        <v>0.89</v>
      </c>
      <c r="E294" s="20">
        <v>1.52</v>
      </c>
      <c r="F294" s="8">
        <v>0.006</v>
      </c>
      <c r="G294" s="21">
        <v>167.929894002999</v>
      </c>
      <c r="H294" s="22">
        <f t="shared" si="1"/>
        <v>0.4668</v>
      </c>
      <c r="I294" s="22">
        <f t="shared" si="2"/>
        <v>2.142245073</v>
      </c>
      <c r="J294" s="22">
        <f t="shared" si="3"/>
        <v>0.5855263158</v>
      </c>
      <c r="K294" s="22">
        <f t="shared" si="4"/>
        <v>0.003486730694</v>
      </c>
      <c r="L294" s="22">
        <f t="shared" si="5"/>
        <v>0.883305109</v>
      </c>
      <c r="M294" s="22">
        <f t="shared" si="85"/>
        <v>0.4285714286</v>
      </c>
      <c r="N294" s="22">
        <f t="shared" si="86"/>
        <v>0.3444410416</v>
      </c>
      <c r="O294" s="22">
        <f t="shared" si="87"/>
        <v>0.4224988719</v>
      </c>
      <c r="P294" s="22">
        <f t="shared" si="9"/>
        <v>0.9411087291</v>
      </c>
    </row>
    <row r="295">
      <c r="A295" s="8" t="s">
        <v>38</v>
      </c>
      <c r="B295" s="8" t="s">
        <v>30</v>
      </c>
      <c r="C295" s="8">
        <v>30.0</v>
      </c>
      <c r="D295" s="55">
        <v>0.89</v>
      </c>
      <c r="E295" s="27">
        <v>1.64</v>
      </c>
      <c r="F295" s="8">
        <v>0.006</v>
      </c>
      <c r="G295" s="21">
        <v>181.116724546</v>
      </c>
      <c r="H295" s="22">
        <f t="shared" si="1"/>
        <v>0.4668</v>
      </c>
      <c r="I295" s="22">
        <f t="shared" si="2"/>
        <v>2.142245073</v>
      </c>
      <c r="J295" s="22">
        <f t="shared" si="3"/>
        <v>0.5426829268</v>
      </c>
      <c r="K295" s="22">
        <f t="shared" si="4"/>
        <v>0.002996315929</v>
      </c>
      <c r="L295" s="22">
        <f t="shared" si="5"/>
        <v>0.8189930207</v>
      </c>
      <c r="M295" s="22">
        <f t="shared" si="85"/>
        <v>0.4285714286</v>
      </c>
      <c r="N295" s="22">
        <f t="shared" si="86"/>
        <v>0.412346557</v>
      </c>
      <c r="O295" s="22">
        <f t="shared" si="87"/>
        <v>0.4021851582</v>
      </c>
      <c r="P295" s="22">
        <f t="shared" si="9"/>
        <v>0.9886425899</v>
      </c>
    </row>
    <row r="296">
      <c r="A296" s="8" t="s">
        <v>38</v>
      </c>
      <c r="B296" s="8" t="s">
        <v>30</v>
      </c>
      <c r="C296" s="8">
        <v>31.0</v>
      </c>
      <c r="D296" s="55">
        <v>0.89</v>
      </c>
      <c r="E296" s="20">
        <v>1.46</v>
      </c>
      <c r="F296" s="8">
        <v>0.005</v>
      </c>
      <c r="G296" s="21">
        <v>161.637019248</v>
      </c>
      <c r="H296" s="22">
        <f t="shared" si="1"/>
        <v>0.389</v>
      </c>
      <c r="I296" s="22">
        <f t="shared" si="2"/>
        <v>2.570694087</v>
      </c>
      <c r="J296" s="22">
        <f t="shared" si="3"/>
        <v>0.6095890411</v>
      </c>
      <c r="K296" s="22">
        <f t="shared" si="4"/>
        <v>0.003771345475</v>
      </c>
      <c r="L296" s="22">
        <f t="shared" si="5"/>
        <v>1.101232879</v>
      </c>
      <c r="M296" s="22">
        <f t="shared" si="85"/>
        <v>0.2857142857</v>
      </c>
      <c r="N296" s="22">
        <f t="shared" si="86"/>
        <v>0.3120359158</v>
      </c>
      <c r="O296" s="22">
        <f t="shared" si="87"/>
        <v>0.4810376645</v>
      </c>
      <c r="P296" s="22">
        <f t="shared" si="9"/>
        <v>1.020472379</v>
      </c>
    </row>
    <row r="297">
      <c r="A297" s="8" t="s">
        <v>38</v>
      </c>
      <c r="B297" s="8" t="s">
        <v>30</v>
      </c>
      <c r="C297" s="8">
        <v>32.0</v>
      </c>
      <c r="D297" s="55">
        <v>0.89</v>
      </c>
      <c r="E297" s="27">
        <v>1.89</v>
      </c>
      <c r="F297" s="8">
        <v>0.007</v>
      </c>
      <c r="G297" s="21">
        <v>208.986462136999</v>
      </c>
      <c r="H297" s="22">
        <f t="shared" si="1"/>
        <v>0.5446</v>
      </c>
      <c r="I297" s="22">
        <f t="shared" si="2"/>
        <v>1.836210062</v>
      </c>
      <c r="J297" s="22">
        <f t="shared" si="3"/>
        <v>0.4708994709</v>
      </c>
      <c r="K297" s="22">
        <f t="shared" si="4"/>
        <v>0.00225325347</v>
      </c>
      <c r="L297" s="22">
        <f t="shared" si="5"/>
        <v>0.6083784368</v>
      </c>
      <c r="M297" s="22">
        <f t="shared" si="85"/>
        <v>0.5714285714</v>
      </c>
      <c r="N297" s="22">
        <f t="shared" si="86"/>
        <v>0.555861626</v>
      </c>
      <c r="O297" s="22">
        <f t="shared" si="87"/>
        <v>0.3318972552</v>
      </c>
      <c r="P297" s="22">
        <f t="shared" si="9"/>
        <v>0.990093762</v>
      </c>
    </row>
    <row r="298">
      <c r="A298" s="8" t="s">
        <v>38</v>
      </c>
      <c r="B298" s="8" t="s">
        <v>30</v>
      </c>
      <c r="C298" s="8">
        <v>33.0</v>
      </c>
      <c r="D298" s="55">
        <v>0.89</v>
      </c>
      <c r="E298" s="20">
        <v>1.35</v>
      </c>
      <c r="F298" s="8">
        <v>0.005</v>
      </c>
      <c r="G298" s="21">
        <v>148.616449696999</v>
      </c>
      <c r="H298" s="22">
        <f t="shared" si="1"/>
        <v>0.389</v>
      </c>
      <c r="I298" s="22">
        <f t="shared" si="2"/>
        <v>2.570694087</v>
      </c>
      <c r="J298" s="22">
        <f t="shared" si="3"/>
        <v>0.6592592593</v>
      </c>
      <c r="K298" s="22">
        <f t="shared" si="4"/>
        <v>0.004435977717</v>
      </c>
      <c r="L298" s="22">
        <f t="shared" si="5"/>
        <v>1.197713984</v>
      </c>
      <c r="M298" s="22">
        <f t="shared" si="85"/>
        <v>0.2857142857</v>
      </c>
      <c r="N298" s="22">
        <f t="shared" si="86"/>
        <v>0.2449865605</v>
      </c>
      <c r="O298" s="22">
        <f t="shared" si="87"/>
        <v>0.5069441814</v>
      </c>
      <c r="P298" s="22">
        <f t="shared" si="9"/>
        <v>0.9683228804</v>
      </c>
    </row>
    <row r="299">
      <c r="A299" s="8" t="s">
        <v>38</v>
      </c>
      <c r="B299" s="8" t="s">
        <v>80</v>
      </c>
      <c r="C299" s="8">
        <v>1.0</v>
      </c>
      <c r="D299" s="55">
        <v>0.89</v>
      </c>
      <c r="E299" s="21">
        <v>2.19</v>
      </c>
      <c r="F299" s="8">
        <v>0.006</v>
      </c>
      <c r="G299" s="21">
        <v>186.130143221999</v>
      </c>
      <c r="H299" s="22">
        <f t="shared" si="1"/>
        <v>0.4668</v>
      </c>
      <c r="I299" s="22">
        <f t="shared" si="2"/>
        <v>2.142245073</v>
      </c>
      <c r="J299" s="22">
        <f t="shared" si="3"/>
        <v>0.4063926941</v>
      </c>
      <c r="K299" s="22">
        <f t="shared" si="4"/>
        <v>0.002183379258</v>
      </c>
      <c r="L299" s="22">
        <f t="shared" si="5"/>
        <v>0.7969334293</v>
      </c>
      <c r="M299" s="22">
        <f t="shared" si="85"/>
        <v>0.4285714286</v>
      </c>
      <c r="N299" s="22">
        <f t="shared" si="86"/>
        <v>0.4381631305</v>
      </c>
      <c r="O299" s="22">
        <f t="shared" si="87"/>
        <v>0.3949655024</v>
      </c>
      <c r="P299" s="22">
        <f t="shared" si="9"/>
        <v>1.006714191</v>
      </c>
    </row>
    <row r="300">
      <c r="A300" s="8" t="s">
        <v>38</v>
      </c>
      <c r="B300" s="8" t="s">
        <v>80</v>
      </c>
      <c r="C300" s="8">
        <v>2.0</v>
      </c>
      <c r="D300" s="55">
        <v>0.89</v>
      </c>
      <c r="E300" s="21">
        <v>2.02</v>
      </c>
      <c r="F300" s="8">
        <v>0.006</v>
      </c>
      <c r="G300" s="21">
        <v>171.300246079</v>
      </c>
      <c r="H300" s="22">
        <f t="shared" si="1"/>
        <v>0.4668</v>
      </c>
      <c r="I300" s="22">
        <f t="shared" si="2"/>
        <v>2.142245073</v>
      </c>
      <c r="J300" s="22">
        <f t="shared" si="3"/>
        <v>0.4405940594</v>
      </c>
      <c r="K300" s="22">
        <f t="shared" si="4"/>
        <v>0.002572057364</v>
      </c>
      <c r="L300" s="22">
        <f t="shared" si="5"/>
        <v>0.8659259793</v>
      </c>
      <c r="M300" s="22">
        <f t="shared" si="85"/>
        <v>0.4285714286</v>
      </c>
      <c r="N300" s="22">
        <f t="shared" si="86"/>
        <v>0.3617966521</v>
      </c>
      <c r="O300" s="22">
        <f t="shared" si="87"/>
        <v>0.4171142751</v>
      </c>
      <c r="P300" s="22">
        <f t="shared" si="9"/>
        <v>0.9532576565</v>
      </c>
    </row>
    <row r="301">
      <c r="A301" s="8" t="s">
        <v>38</v>
      </c>
      <c r="B301" s="8" t="s">
        <v>80</v>
      </c>
      <c r="C301" s="8">
        <v>3.0</v>
      </c>
      <c r="D301" s="55">
        <v>0.89</v>
      </c>
      <c r="E301" s="21">
        <v>2.5</v>
      </c>
      <c r="F301" s="8">
        <v>0.007</v>
      </c>
      <c r="G301" s="21">
        <v>211.660563735999</v>
      </c>
      <c r="H301" s="22">
        <f t="shared" si="1"/>
        <v>0.5446</v>
      </c>
      <c r="I301" s="22">
        <f t="shared" si="2"/>
        <v>1.836210062</v>
      </c>
      <c r="J301" s="22">
        <f t="shared" si="3"/>
        <v>0.356</v>
      </c>
      <c r="K301" s="22">
        <f t="shared" si="4"/>
        <v>0.001681938259</v>
      </c>
      <c r="L301" s="22">
        <f t="shared" si="5"/>
        <v>0.6006922352</v>
      </c>
      <c r="M301" s="22">
        <f t="shared" si="85"/>
        <v>0.5714285714</v>
      </c>
      <c r="N301" s="22">
        <f t="shared" si="86"/>
        <v>0.5696318983</v>
      </c>
      <c r="O301" s="22">
        <f t="shared" si="87"/>
        <v>0.3289855435</v>
      </c>
      <c r="P301" s="22">
        <f t="shared" si="9"/>
        <v>0.9988566626</v>
      </c>
    </row>
    <row r="302">
      <c r="A302" s="8" t="s">
        <v>38</v>
      </c>
      <c r="B302" s="8" t="s">
        <v>80</v>
      </c>
      <c r="C302" s="8">
        <v>4.0</v>
      </c>
      <c r="D302" s="55">
        <v>0.89</v>
      </c>
      <c r="E302" s="21">
        <v>2.76</v>
      </c>
      <c r="F302" s="8">
        <v>0.008</v>
      </c>
      <c r="G302" s="21">
        <v>233.531469140999</v>
      </c>
      <c r="H302" s="22">
        <f t="shared" si="1"/>
        <v>0.6224</v>
      </c>
      <c r="I302" s="22">
        <f t="shared" si="2"/>
        <v>1.606683805</v>
      </c>
      <c r="J302" s="22">
        <f t="shared" si="3"/>
        <v>0.3224637681</v>
      </c>
      <c r="K302" s="22">
        <f t="shared" si="4"/>
        <v>0.001380815054</v>
      </c>
      <c r="L302" s="22">
        <f t="shared" si="5"/>
        <v>0.4763811935</v>
      </c>
      <c r="M302" s="22">
        <f t="shared" si="85"/>
        <v>0.7142857143</v>
      </c>
      <c r="N302" s="22">
        <f t="shared" si="86"/>
        <v>0.6822560122</v>
      </c>
      <c r="O302" s="22">
        <f t="shared" si="87"/>
        <v>0.2813804891</v>
      </c>
      <c r="P302" s="22">
        <f t="shared" si="9"/>
        <v>0.9813160071</v>
      </c>
    </row>
    <row r="303">
      <c r="A303" s="8" t="s">
        <v>38</v>
      </c>
      <c r="B303" s="8" t="s">
        <v>80</v>
      </c>
      <c r="C303" s="8">
        <v>5.0</v>
      </c>
      <c r="D303" s="55">
        <v>0.89</v>
      </c>
      <c r="E303" s="21">
        <v>3.49</v>
      </c>
      <c r="F303" s="8">
        <v>0.01</v>
      </c>
      <c r="G303" s="21">
        <v>295.235383743</v>
      </c>
      <c r="H303" s="22">
        <f t="shared" si="1"/>
        <v>0.778</v>
      </c>
      <c r="I303" s="22">
        <f t="shared" si="2"/>
        <v>1.285347044</v>
      </c>
      <c r="J303" s="22">
        <f t="shared" si="3"/>
        <v>0.2550143266</v>
      </c>
      <c r="K303" s="22">
        <f t="shared" si="4"/>
        <v>0.0008637661361</v>
      </c>
      <c r="L303" s="22">
        <f t="shared" si="5"/>
        <v>0.3014543815</v>
      </c>
      <c r="M303" s="22">
        <f t="shared" si="85"/>
        <v>1</v>
      </c>
      <c r="N303" s="22">
        <f t="shared" si="86"/>
        <v>1</v>
      </c>
      <c r="O303" s="22">
        <f t="shared" si="87"/>
        <v>0.2028660084</v>
      </c>
      <c r="P303" s="22">
        <f t="shared" si="9"/>
        <v>1</v>
      </c>
    </row>
    <row r="304">
      <c r="A304" s="8" t="s">
        <v>38</v>
      </c>
      <c r="B304" s="8" t="s">
        <v>80</v>
      </c>
      <c r="C304" s="8">
        <v>6.0</v>
      </c>
      <c r="D304" s="55">
        <v>0.89</v>
      </c>
      <c r="E304" s="21">
        <v>2.52</v>
      </c>
      <c r="F304" s="8">
        <v>0.007</v>
      </c>
      <c r="G304" s="21">
        <v>212.819815784999</v>
      </c>
      <c r="H304" s="22">
        <f t="shared" si="1"/>
        <v>0.5446</v>
      </c>
      <c r="I304" s="22">
        <f t="shared" si="2"/>
        <v>1.836210062</v>
      </c>
      <c r="J304" s="22">
        <f t="shared" si="3"/>
        <v>0.3531746032</v>
      </c>
      <c r="K304" s="22">
        <f t="shared" si="4"/>
        <v>0.001659500559</v>
      </c>
      <c r="L304" s="22">
        <f t="shared" si="5"/>
        <v>0.5974202011</v>
      </c>
      <c r="M304" s="22">
        <f t="shared" si="85"/>
        <v>0.5714285714</v>
      </c>
      <c r="N304" s="22">
        <f t="shared" si="86"/>
        <v>0.5756014607</v>
      </c>
      <c r="O304" s="22">
        <f t="shared" si="87"/>
        <v>0.327739099</v>
      </c>
      <c r="P304" s="22">
        <f t="shared" si="9"/>
        <v>1.002655475</v>
      </c>
    </row>
    <row r="305">
      <c r="A305" s="8" t="s">
        <v>38</v>
      </c>
      <c r="B305" s="8" t="s">
        <v>80</v>
      </c>
      <c r="C305" s="8">
        <v>7.0</v>
      </c>
      <c r="D305" s="55">
        <v>0.89</v>
      </c>
      <c r="E305" s="21">
        <v>2.31</v>
      </c>
      <c r="F305" s="8">
        <v>0.007</v>
      </c>
      <c r="G305" s="21">
        <v>195.461372476</v>
      </c>
      <c r="H305" s="22">
        <f t="shared" si="1"/>
        <v>0.5446</v>
      </c>
      <c r="I305" s="22">
        <f t="shared" si="2"/>
        <v>1.836210062</v>
      </c>
      <c r="J305" s="22">
        <f t="shared" si="3"/>
        <v>0.3852813853</v>
      </c>
      <c r="K305" s="22">
        <f t="shared" si="4"/>
        <v>0.001971138238</v>
      </c>
      <c r="L305" s="22">
        <f t="shared" si="5"/>
        <v>0.6504756184</v>
      </c>
      <c r="M305" s="22">
        <f t="shared" si="85"/>
        <v>0.5714285714</v>
      </c>
      <c r="N305" s="22">
        <f t="shared" si="86"/>
        <v>0.4862142471</v>
      </c>
      <c r="O305" s="22">
        <f t="shared" si="87"/>
        <v>0.3474507152</v>
      </c>
      <c r="P305" s="22">
        <f t="shared" si="9"/>
        <v>0.9457727027</v>
      </c>
    </row>
    <row r="306">
      <c r="A306" s="8" t="s">
        <v>38</v>
      </c>
      <c r="B306" s="8" t="s">
        <v>80</v>
      </c>
      <c r="C306" s="8">
        <v>8.0</v>
      </c>
      <c r="D306" s="55">
        <v>0.89</v>
      </c>
      <c r="E306" s="21">
        <v>3.15</v>
      </c>
      <c r="F306" s="8">
        <v>0.009</v>
      </c>
      <c r="G306" s="21">
        <v>266.95479453</v>
      </c>
      <c r="H306" s="22">
        <f t="shared" si="1"/>
        <v>0.7002</v>
      </c>
      <c r="I306" s="22">
        <f t="shared" si="2"/>
        <v>1.428163382</v>
      </c>
      <c r="J306" s="22">
        <f t="shared" si="3"/>
        <v>0.2825396825</v>
      </c>
      <c r="K306" s="22">
        <f t="shared" si="4"/>
        <v>0.001058380251</v>
      </c>
      <c r="L306" s="22">
        <f t="shared" si="5"/>
        <v>0.370433088</v>
      </c>
      <c r="M306" s="22">
        <f t="shared" si="85"/>
        <v>0.8571428571</v>
      </c>
      <c r="N306" s="22">
        <f t="shared" si="86"/>
        <v>0.8543692527</v>
      </c>
      <c r="O306" s="22">
        <f t="shared" si="87"/>
        <v>0.2356284603</v>
      </c>
      <c r="P306" s="22">
        <f t="shared" si="9"/>
        <v>0.9985065207</v>
      </c>
    </row>
    <row r="307">
      <c r="A307" s="8" t="s">
        <v>38</v>
      </c>
      <c r="B307" s="8" t="s">
        <v>80</v>
      </c>
      <c r="C307" s="8">
        <v>9.0</v>
      </c>
      <c r="D307" s="55">
        <v>0.89</v>
      </c>
      <c r="E307" s="21">
        <v>2.22</v>
      </c>
      <c r="F307" s="8">
        <v>0.006</v>
      </c>
      <c r="G307" s="21">
        <v>187.848799436999</v>
      </c>
      <c r="H307" s="22">
        <f t="shared" si="1"/>
        <v>0.4668</v>
      </c>
      <c r="I307" s="22">
        <f t="shared" si="2"/>
        <v>2.142245073</v>
      </c>
      <c r="J307" s="22">
        <f t="shared" si="3"/>
        <v>0.4009009009</v>
      </c>
      <c r="K307" s="22">
        <f t="shared" si="4"/>
        <v>0.002134168023</v>
      </c>
      <c r="L307" s="22">
        <f t="shared" si="5"/>
        <v>0.7896421685</v>
      </c>
      <c r="M307" s="22">
        <f t="shared" si="85"/>
        <v>0.4285714286</v>
      </c>
      <c r="N307" s="22">
        <f t="shared" si="86"/>
        <v>0.4470133417</v>
      </c>
      <c r="O307" s="22">
        <f t="shared" si="87"/>
        <v>0.3925498176</v>
      </c>
      <c r="P307" s="22">
        <f t="shared" si="9"/>
        <v>1.012909339</v>
      </c>
    </row>
    <row r="308">
      <c r="A308" s="8" t="s">
        <v>38</v>
      </c>
      <c r="B308" s="8" t="s">
        <v>80</v>
      </c>
      <c r="C308" s="8">
        <v>10.0</v>
      </c>
      <c r="D308" s="55">
        <v>0.89</v>
      </c>
      <c r="E308" s="21">
        <v>2.38</v>
      </c>
      <c r="F308" s="8">
        <v>0.007</v>
      </c>
      <c r="G308" s="21">
        <v>201.494583929</v>
      </c>
      <c r="H308" s="22">
        <f t="shared" si="1"/>
        <v>0.5446</v>
      </c>
      <c r="I308" s="22">
        <f t="shared" si="2"/>
        <v>1.836210062</v>
      </c>
      <c r="J308" s="22">
        <f t="shared" si="3"/>
        <v>0.3739495798</v>
      </c>
      <c r="K308" s="22">
        <f t="shared" si="4"/>
        <v>0.001855879064</v>
      </c>
      <c r="L308" s="22">
        <f t="shared" si="5"/>
        <v>0.6309988818</v>
      </c>
      <c r="M308" s="22">
        <f t="shared" si="85"/>
        <v>0.5714285714</v>
      </c>
      <c r="N308" s="22">
        <f t="shared" si="86"/>
        <v>0.5172822381</v>
      </c>
      <c r="O308" s="22">
        <f t="shared" si="87"/>
        <v>0.3403362869</v>
      </c>
      <c r="P308" s="22">
        <f t="shared" si="9"/>
        <v>0.9655432424</v>
      </c>
    </row>
    <row r="309">
      <c r="A309" s="8" t="s">
        <v>38</v>
      </c>
      <c r="B309" s="8" t="s">
        <v>80</v>
      </c>
      <c r="C309" s="8">
        <v>11.0</v>
      </c>
      <c r="D309" s="55">
        <v>0.89</v>
      </c>
      <c r="E309" s="21">
        <v>2.1</v>
      </c>
      <c r="F309" s="8">
        <v>0.006</v>
      </c>
      <c r="G309" s="21">
        <v>178.215947511999</v>
      </c>
      <c r="H309" s="22">
        <f t="shared" si="1"/>
        <v>0.4668</v>
      </c>
      <c r="I309" s="22">
        <f t="shared" si="2"/>
        <v>2.142245073</v>
      </c>
      <c r="J309" s="22">
        <f t="shared" si="3"/>
        <v>0.4238095238</v>
      </c>
      <c r="K309" s="22">
        <f t="shared" si="4"/>
        <v>0.002378067338</v>
      </c>
      <c r="L309" s="22">
        <f t="shared" si="5"/>
        <v>0.8323235681</v>
      </c>
      <c r="M309" s="22">
        <f t="shared" si="85"/>
        <v>0.4285714286</v>
      </c>
      <c r="N309" s="22">
        <f t="shared" si="86"/>
        <v>0.3974090208</v>
      </c>
      <c r="O309" s="22">
        <f t="shared" si="87"/>
        <v>0.406484297</v>
      </c>
      <c r="P309" s="22">
        <f t="shared" si="9"/>
        <v>0.9781863145</v>
      </c>
    </row>
    <row r="310">
      <c r="A310" s="8" t="s">
        <v>38</v>
      </c>
      <c r="B310" s="8" t="s">
        <v>80</v>
      </c>
      <c r="C310" s="8">
        <v>12.0</v>
      </c>
      <c r="D310" s="55">
        <v>0.89</v>
      </c>
      <c r="E310" s="21">
        <v>2.22</v>
      </c>
      <c r="F310" s="8">
        <v>0.006</v>
      </c>
      <c r="G310" s="21">
        <v>188.350384344999</v>
      </c>
      <c r="H310" s="22">
        <f t="shared" si="1"/>
        <v>0.4668</v>
      </c>
      <c r="I310" s="22">
        <f t="shared" si="2"/>
        <v>2.142245073</v>
      </c>
      <c r="J310" s="22">
        <f t="shared" si="3"/>
        <v>0.4009009009</v>
      </c>
      <c r="K310" s="22">
        <f t="shared" si="4"/>
        <v>0.002128484645</v>
      </c>
      <c r="L310" s="22">
        <f t="shared" si="5"/>
        <v>0.7875393185</v>
      </c>
      <c r="M310" s="22">
        <f t="shared" si="85"/>
        <v>0.4285714286</v>
      </c>
      <c r="N310" s="22">
        <f t="shared" si="86"/>
        <v>0.4495962506</v>
      </c>
      <c r="O310" s="22">
        <f t="shared" si="87"/>
        <v>0.3918503674</v>
      </c>
      <c r="P310" s="22">
        <f t="shared" si="9"/>
        <v>1.014717375</v>
      </c>
    </row>
    <row r="311">
      <c r="A311" s="8" t="s">
        <v>38</v>
      </c>
      <c r="B311" s="8" t="s">
        <v>80</v>
      </c>
      <c r="C311" s="8">
        <v>13.0</v>
      </c>
      <c r="D311" s="55">
        <v>0.89</v>
      </c>
      <c r="E311" s="21">
        <v>2.0</v>
      </c>
      <c r="F311" s="8">
        <v>0.006</v>
      </c>
      <c r="G311" s="21">
        <v>169.880595345999</v>
      </c>
      <c r="H311" s="22">
        <f t="shared" si="1"/>
        <v>0.4668</v>
      </c>
      <c r="I311" s="22">
        <f t="shared" si="2"/>
        <v>2.142245073</v>
      </c>
      <c r="J311" s="22">
        <f t="shared" si="3"/>
        <v>0.445</v>
      </c>
      <c r="K311" s="22">
        <f t="shared" si="4"/>
        <v>0.002619486935</v>
      </c>
      <c r="L311" s="22">
        <f t="shared" si="5"/>
        <v>0.8731623116</v>
      </c>
      <c r="M311" s="22">
        <f t="shared" si="85"/>
        <v>0.4285714286</v>
      </c>
      <c r="N311" s="22">
        <f t="shared" si="86"/>
        <v>0.3544861681</v>
      </c>
      <c r="O311" s="22">
        <f t="shared" si="87"/>
        <v>0.4193655401</v>
      </c>
      <c r="P311" s="22">
        <f t="shared" si="9"/>
        <v>0.9481403176</v>
      </c>
    </row>
    <row r="312">
      <c r="A312" s="8" t="s">
        <v>38</v>
      </c>
      <c r="B312" s="8" t="s">
        <v>80</v>
      </c>
      <c r="C312" s="8">
        <v>14.0</v>
      </c>
      <c r="D312" s="55">
        <v>0.89</v>
      </c>
      <c r="E312" s="21">
        <v>2.69</v>
      </c>
      <c r="F312" s="8">
        <v>0.008</v>
      </c>
      <c r="G312" s="21">
        <v>227.785389253</v>
      </c>
      <c r="H312" s="22">
        <f t="shared" si="1"/>
        <v>0.6224</v>
      </c>
      <c r="I312" s="22">
        <f t="shared" si="2"/>
        <v>1.606683805</v>
      </c>
      <c r="J312" s="22">
        <f t="shared" si="3"/>
        <v>0.3308550186</v>
      </c>
      <c r="K312" s="22">
        <f t="shared" si="4"/>
        <v>0.001452485691</v>
      </c>
      <c r="L312" s="22">
        <f t="shared" si="5"/>
        <v>0.4883983137</v>
      </c>
      <c r="M312" s="22">
        <f t="shared" si="85"/>
        <v>0.7142857143</v>
      </c>
      <c r="N312" s="22">
        <f t="shared" si="86"/>
        <v>0.6526666036</v>
      </c>
      <c r="O312" s="22">
        <f t="shared" si="87"/>
        <v>0.2864183366</v>
      </c>
      <c r="P312" s="22">
        <f t="shared" si="9"/>
        <v>0.9640555188</v>
      </c>
    </row>
    <row r="313">
      <c r="A313" s="8" t="s">
        <v>38</v>
      </c>
      <c r="B313" s="8" t="s">
        <v>80</v>
      </c>
      <c r="C313" s="8">
        <v>15.0</v>
      </c>
      <c r="D313" s="55">
        <v>0.89</v>
      </c>
      <c r="E313" s="21">
        <v>2.52</v>
      </c>
      <c r="F313" s="8">
        <v>0.007</v>
      </c>
      <c r="G313" s="21">
        <v>213.588398101</v>
      </c>
      <c r="H313" s="22">
        <f t="shared" si="1"/>
        <v>0.5446</v>
      </c>
      <c r="I313" s="22">
        <f t="shared" si="2"/>
        <v>1.836210062</v>
      </c>
      <c r="J313" s="22">
        <f t="shared" si="3"/>
        <v>0.3531746032</v>
      </c>
      <c r="K313" s="22">
        <f t="shared" si="4"/>
        <v>0.001653528967</v>
      </c>
      <c r="L313" s="22">
        <f t="shared" si="5"/>
        <v>0.595270428</v>
      </c>
      <c r="M313" s="22">
        <f t="shared" si="85"/>
        <v>0.5714285714</v>
      </c>
      <c r="N313" s="22">
        <f t="shared" si="86"/>
        <v>0.5795592714</v>
      </c>
      <c r="O313" s="22">
        <f t="shared" si="87"/>
        <v>0.326917902</v>
      </c>
      <c r="P313" s="22">
        <f t="shared" si="9"/>
        <v>1.005174082</v>
      </c>
    </row>
    <row r="314">
      <c r="A314" s="8" t="s">
        <v>38</v>
      </c>
      <c r="B314" s="8" t="s">
        <v>80</v>
      </c>
      <c r="C314" s="8">
        <v>16.0</v>
      </c>
      <c r="D314" s="55">
        <v>0.89</v>
      </c>
      <c r="E314" s="21">
        <v>2.46</v>
      </c>
      <c r="F314" s="8">
        <v>0.007</v>
      </c>
      <c r="G314" s="21">
        <v>208.583452309</v>
      </c>
      <c r="H314" s="22">
        <f t="shared" si="1"/>
        <v>0.5446</v>
      </c>
      <c r="I314" s="22">
        <f t="shared" si="2"/>
        <v>1.836210062</v>
      </c>
      <c r="J314" s="22">
        <f t="shared" si="3"/>
        <v>0.3617886179</v>
      </c>
      <c r="K314" s="22">
        <f t="shared" si="4"/>
        <v>0.001734502972</v>
      </c>
      <c r="L314" s="22">
        <f t="shared" si="5"/>
        <v>0.6095539015</v>
      </c>
      <c r="M314" s="22">
        <f t="shared" si="85"/>
        <v>0.5714285714</v>
      </c>
      <c r="N314" s="22">
        <f t="shared" si="86"/>
        <v>0.553786329</v>
      </c>
      <c r="O314" s="22">
        <f t="shared" si="87"/>
        <v>0.33234055</v>
      </c>
      <c r="P314" s="22">
        <f t="shared" si="9"/>
        <v>0.9887731185</v>
      </c>
    </row>
    <row r="315">
      <c r="A315" s="8" t="s">
        <v>38</v>
      </c>
      <c r="B315" s="8" t="s">
        <v>80</v>
      </c>
      <c r="C315" s="8">
        <v>17.0</v>
      </c>
      <c r="D315" s="55">
        <v>0.89</v>
      </c>
      <c r="E315" s="21">
        <v>2.4</v>
      </c>
      <c r="F315" s="8">
        <v>0.007</v>
      </c>
      <c r="G315" s="21">
        <v>203.138403331</v>
      </c>
      <c r="H315" s="22">
        <f t="shared" si="1"/>
        <v>0.5446</v>
      </c>
      <c r="I315" s="22">
        <f t="shared" si="2"/>
        <v>1.836210062</v>
      </c>
      <c r="J315" s="22">
        <f t="shared" si="3"/>
        <v>0.3708333333</v>
      </c>
      <c r="K315" s="22">
        <f t="shared" si="4"/>
        <v>0.001825520568</v>
      </c>
      <c r="L315" s="22">
        <f t="shared" si="5"/>
        <v>0.625892766</v>
      </c>
      <c r="M315" s="22">
        <f t="shared" si="85"/>
        <v>0.5714285714</v>
      </c>
      <c r="N315" s="22">
        <f t="shared" si="86"/>
        <v>0.5257470776</v>
      </c>
      <c r="O315" s="22">
        <f t="shared" si="87"/>
        <v>0.3384481024</v>
      </c>
      <c r="P315" s="22">
        <f t="shared" si="9"/>
        <v>0.9709299585</v>
      </c>
    </row>
    <row r="316">
      <c r="A316" s="8" t="s">
        <v>38</v>
      </c>
      <c r="B316" s="8" t="s">
        <v>80</v>
      </c>
      <c r="C316" s="8">
        <v>18.0</v>
      </c>
      <c r="D316" s="55">
        <v>0.89</v>
      </c>
      <c r="E316" s="21">
        <v>2.56</v>
      </c>
      <c r="F316" s="8">
        <v>0.007</v>
      </c>
      <c r="G316" s="21">
        <v>216.285650927</v>
      </c>
      <c r="H316" s="22">
        <f t="shared" si="1"/>
        <v>0.5446</v>
      </c>
      <c r="I316" s="22">
        <f t="shared" si="2"/>
        <v>1.836210062</v>
      </c>
      <c r="J316" s="22">
        <f t="shared" si="3"/>
        <v>0.34765625</v>
      </c>
      <c r="K316" s="22">
        <f t="shared" si="4"/>
        <v>0.001607393965</v>
      </c>
      <c r="L316" s="22">
        <f t="shared" si="5"/>
        <v>0.5878469357</v>
      </c>
      <c r="M316" s="22">
        <f t="shared" si="85"/>
        <v>0.5714285714</v>
      </c>
      <c r="N316" s="22">
        <f t="shared" si="86"/>
        <v>0.5934487608</v>
      </c>
      <c r="O316" s="22">
        <f t="shared" si="87"/>
        <v>0.3240682825</v>
      </c>
      <c r="P316" s="22">
        <f t="shared" si="9"/>
        <v>1.014012848</v>
      </c>
    </row>
    <row r="317">
      <c r="A317" s="8" t="s">
        <v>38</v>
      </c>
      <c r="B317" s="8" t="s">
        <v>80</v>
      </c>
      <c r="C317" s="8">
        <v>19.0</v>
      </c>
      <c r="D317" s="55">
        <v>0.89</v>
      </c>
      <c r="E317" s="21">
        <v>2.27</v>
      </c>
      <c r="F317" s="8">
        <v>0.006</v>
      </c>
      <c r="G317" s="21">
        <v>192.034908714</v>
      </c>
      <c r="H317" s="22">
        <f t="shared" si="1"/>
        <v>0.4668</v>
      </c>
      <c r="I317" s="22">
        <f t="shared" si="2"/>
        <v>2.142245073</v>
      </c>
      <c r="J317" s="22">
        <f t="shared" si="3"/>
        <v>0.3920704846</v>
      </c>
      <c r="K317" s="22">
        <f t="shared" si="4"/>
        <v>0.002041662566</v>
      </c>
      <c r="L317" s="22">
        <f t="shared" si="5"/>
        <v>0.7724290043</v>
      </c>
      <c r="M317" s="22">
        <f t="shared" si="85"/>
        <v>0.4285714286</v>
      </c>
      <c r="N317" s="22">
        <f t="shared" si="86"/>
        <v>0.4685696897</v>
      </c>
      <c r="O317" s="22">
        <f t="shared" si="87"/>
        <v>0.3867877891</v>
      </c>
      <c r="P317" s="22">
        <f t="shared" si="9"/>
        <v>1.027998783</v>
      </c>
    </row>
    <row r="318">
      <c r="A318" s="8" t="s">
        <v>38</v>
      </c>
      <c r="B318" s="8" t="s">
        <v>80</v>
      </c>
      <c r="C318" s="8">
        <v>20.0</v>
      </c>
      <c r="D318" s="55">
        <v>0.89</v>
      </c>
      <c r="E318" s="21">
        <v>2.29</v>
      </c>
      <c r="F318" s="8">
        <v>0.007</v>
      </c>
      <c r="G318" s="21">
        <v>194.137437215</v>
      </c>
      <c r="H318" s="22">
        <f t="shared" si="1"/>
        <v>0.5446</v>
      </c>
      <c r="I318" s="22">
        <f t="shared" si="2"/>
        <v>1.836210062</v>
      </c>
      <c r="J318" s="22">
        <f t="shared" si="3"/>
        <v>0.3886462882</v>
      </c>
      <c r="K318" s="22">
        <f t="shared" si="4"/>
        <v>0.002001913149</v>
      </c>
      <c r="L318" s="22">
        <f t="shared" si="5"/>
        <v>0.6549115872</v>
      </c>
      <c r="M318" s="22">
        <f t="shared" si="85"/>
        <v>0.5714285714</v>
      </c>
      <c r="N318" s="22">
        <f t="shared" si="86"/>
        <v>0.4793966493</v>
      </c>
      <c r="O318" s="22">
        <f t="shared" si="87"/>
        <v>0.3490518945</v>
      </c>
      <c r="P318" s="22">
        <f t="shared" si="9"/>
        <v>0.9414342314</v>
      </c>
    </row>
    <row r="319">
      <c r="A319" s="8" t="s">
        <v>38</v>
      </c>
      <c r="B319" s="8" t="s">
        <v>80</v>
      </c>
      <c r="C319" s="8">
        <v>21.0</v>
      </c>
      <c r="D319" s="55">
        <v>0.89</v>
      </c>
      <c r="E319" s="21">
        <v>2.36</v>
      </c>
      <c r="F319" s="8">
        <v>0.007</v>
      </c>
      <c r="G319" s="21">
        <v>199.716658843</v>
      </c>
      <c r="H319" s="22">
        <f t="shared" si="1"/>
        <v>0.5446</v>
      </c>
      <c r="I319" s="22">
        <f t="shared" si="2"/>
        <v>1.836210062</v>
      </c>
      <c r="J319" s="22">
        <f t="shared" si="3"/>
        <v>0.3771186441</v>
      </c>
      <c r="K319" s="22">
        <f t="shared" si="4"/>
        <v>0.001888268341</v>
      </c>
      <c r="L319" s="22">
        <f t="shared" si="5"/>
        <v>0.6366161835</v>
      </c>
      <c r="M319" s="22">
        <f t="shared" si="85"/>
        <v>0.5714285714</v>
      </c>
      <c r="N319" s="22">
        <f t="shared" si="86"/>
        <v>0.5081268221</v>
      </c>
      <c r="O319" s="22">
        <f t="shared" si="87"/>
        <v>0.3424023733</v>
      </c>
      <c r="P319" s="22">
        <f t="shared" si="9"/>
        <v>0.9597170686</v>
      </c>
    </row>
    <row r="320">
      <c r="A320" s="8" t="s">
        <v>38</v>
      </c>
      <c r="B320" s="8" t="s">
        <v>80</v>
      </c>
      <c r="C320" s="8">
        <v>22.0</v>
      </c>
      <c r="D320" s="55">
        <v>0.89</v>
      </c>
      <c r="E320" s="21">
        <v>2.25</v>
      </c>
      <c r="F320" s="8">
        <v>0.006</v>
      </c>
      <c r="G320" s="21">
        <v>190.697472281</v>
      </c>
      <c r="H320" s="22">
        <f t="shared" si="1"/>
        <v>0.4668</v>
      </c>
      <c r="I320" s="22">
        <f t="shared" si="2"/>
        <v>2.142245073</v>
      </c>
      <c r="J320" s="22">
        <f t="shared" si="3"/>
        <v>0.3955555556</v>
      </c>
      <c r="K320" s="22">
        <f t="shared" si="4"/>
        <v>0.002074256941</v>
      </c>
      <c r="L320" s="22">
        <f t="shared" si="5"/>
        <v>0.777846353</v>
      </c>
      <c r="M320" s="22">
        <f t="shared" si="85"/>
        <v>0.4285714286</v>
      </c>
      <c r="N320" s="22">
        <f t="shared" si="86"/>
        <v>0.4616825677</v>
      </c>
      <c r="O320" s="22">
        <f t="shared" si="87"/>
        <v>0.3886102468</v>
      </c>
      <c r="P320" s="22">
        <f t="shared" si="9"/>
        <v>1.023177797</v>
      </c>
    </row>
    <row r="321">
      <c r="A321" s="8" t="s">
        <v>38</v>
      </c>
      <c r="B321" s="8" t="s">
        <v>80</v>
      </c>
      <c r="C321" s="8">
        <v>23.0</v>
      </c>
      <c r="D321" s="55">
        <v>0.89</v>
      </c>
      <c r="E321" s="21">
        <v>2.49</v>
      </c>
      <c r="F321" s="8">
        <v>0.007</v>
      </c>
      <c r="G321" s="21">
        <v>211.202804835999</v>
      </c>
      <c r="H321" s="22">
        <f t="shared" si="1"/>
        <v>0.5446</v>
      </c>
      <c r="I321" s="22">
        <f t="shared" si="2"/>
        <v>1.836210062</v>
      </c>
      <c r="J321" s="22">
        <f t="shared" si="3"/>
        <v>0.3574297189</v>
      </c>
      <c r="K321" s="22">
        <f t="shared" si="4"/>
        <v>0.001692353088</v>
      </c>
      <c r="L321" s="22">
        <f t="shared" si="5"/>
        <v>0.6019941697</v>
      </c>
      <c r="M321" s="22">
        <f t="shared" si="85"/>
        <v>0.5714285714</v>
      </c>
      <c r="N321" s="22">
        <f t="shared" si="86"/>
        <v>0.5672746713</v>
      </c>
      <c r="O321" s="22">
        <f t="shared" si="87"/>
        <v>0.3294803474</v>
      </c>
      <c r="P321" s="22">
        <f t="shared" si="9"/>
        <v>0.997356609</v>
      </c>
    </row>
    <row r="322">
      <c r="A322" s="8" t="s">
        <v>38</v>
      </c>
      <c r="B322" s="8" t="s">
        <v>80</v>
      </c>
      <c r="C322" s="8">
        <v>24.0</v>
      </c>
      <c r="D322" s="55">
        <v>0.89</v>
      </c>
      <c r="E322" s="21">
        <v>2.95</v>
      </c>
      <c r="F322" s="8">
        <v>0.008</v>
      </c>
      <c r="G322" s="21">
        <v>249.480242192</v>
      </c>
      <c r="H322" s="22">
        <f t="shared" si="1"/>
        <v>0.6224</v>
      </c>
      <c r="I322" s="22">
        <f t="shared" si="2"/>
        <v>1.606683805</v>
      </c>
      <c r="J322" s="22">
        <f t="shared" si="3"/>
        <v>0.3016949153</v>
      </c>
      <c r="K322" s="22">
        <f t="shared" si="4"/>
        <v>0.001209293821</v>
      </c>
      <c r="L322" s="22">
        <f t="shared" si="5"/>
        <v>0.4459270964</v>
      </c>
      <c r="M322" s="22">
        <f t="shared" si="85"/>
        <v>0.7142857143</v>
      </c>
      <c r="N322" s="22">
        <f t="shared" si="86"/>
        <v>0.7643841362</v>
      </c>
      <c r="O322" s="22">
        <f t="shared" si="87"/>
        <v>0.2682828585</v>
      </c>
      <c r="P322" s="22">
        <f t="shared" si="9"/>
        <v>1.029224079</v>
      </c>
    </row>
    <row r="323">
      <c r="A323" s="8" t="s">
        <v>38</v>
      </c>
      <c r="B323" s="8" t="s">
        <v>80</v>
      </c>
      <c r="C323" s="8">
        <v>25.0</v>
      </c>
      <c r="D323" s="55">
        <v>0.89</v>
      </c>
      <c r="E323" s="21">
        <v>2.97</v>
      </c>
      <c r="F323" s="8">
        <v>0.008</v>
      </c>
      <c r="G323" s="21">
        <v>250.989977176</v>
      </c>
      <c r="H323" s="22">
        <f t="shared" si="1"/>
        <v>0.6224</v>
      </c>
      <c r="I323" s="22">
        <f t="shared" si="2"/>
        <v>1.606683805</v>
      </c>
      <c r="J323" s="22">
        <f t="shared" si="3"/>
        <v>0.2996632997</v>
      </c>
      <c r="K323" s="22">
        <f t="shared" si="4"/>
        <v>0.001193925363</v>
      </c>
      <c r="L323" s="22">
        <f t="shared" si="5"/>
        <v>0.4432447911</v>
      </c>
      <c r="M323" s="22">
        <f t="shared" si="85"/>
        <v>0.7142857143</v>
      </c>
      <c r="N323" s="22">
        <f t="shared" si="86"/>
        <v>0.7721585086</v>
      </c>
      <c r="O323" s="22">
        <f t="shared" si="87"/>
        <v>0.2671059147</v>
      </c>
      <c r="P323" s="22">
        <f t="shared" si="9"/>
        <v>1.03375913</v>
      </c>
    </row>
    <row r="324">
      <c r="A324" s="8" t="s">
        <v>38</v>
      </c>
      <c r="B324" s="8" t="s">
        <v>80</v>
      </c>
      <c r="C324" s="8">
        <v>26.0</v>
      </c>
      <c r="D324" s="55">
        <v>0.89</v>
      </c>
      <c r="E324" s="21">
        <v>2.63</v>
      </c>
      <c r="F324" s="8">
        <v>0.008</v>
      </c>
      <c r="G324" s="21">
        <v>222.958808684999</v>
      </c>
      <c r="H324" s="22">
        <f t="shared" si="1"/>
        <v>0.6224</v>
      </c>
      <c r="I324" s="22">
        <f t="shared" si="2"/>
        <v>1.606683805</v>
      </c>
      <c r="J324" s="22">
        <f t="shared" si="3"/>
        <v>0.3384030418</v>
      </c>
      <c r="K324" s="22">
        <f t="shared" si="4"/>
        <v>0.001517782786</v>
      </c>
      <c r="L324" s="22">
        <f t="shared" si="5"/>
        <v>0.4989710909</v>
      </c>
      <c r="M324" s="22">
        <f t="shared" si="85"/>
        <v>0.7142857143</v>
      </c>
      <c r="N324" s="22">
        <f t="shared" si="86"/>
        <v>0.627812152</v>
      </c>
      <c r="O324" s="22">
        <f t="shared" si="87"/>
        <v>0.2907915504</v>
      </c>
      <c r="P324" s="22">
        <f t="shared" si="9"/>
        <v>0.9495570887</v>
      </c>
    </row>
    <row r="325">
      <c r="A325" s="8" t="s">
        <v>38</v>
      </c>
      <c r="B325" s="8" t="s">
        <v>80</v>
      </c>
      <c r="C325" s="8">
        <v>27.0</v>
      </c>
      <c r="D325" s="55">
        <v>0.89</v>
      </c>
      <c r="E325" s="21">
        <v>2.18</v>
      </c>
      <c r="F325" s="8">
        <v>0.006</v>
      </c>
      <c r="G325" s="21">
        <v>184.50751218</v>
      </c>
      <c r="H325" s="22">
        <f t="shared" si="1"/>
        <v>0.4668</v>
      </c>
      <c r="I325" s="22">
        <f t="shared" si="2"/>
        <v>2.142245073</v>
      </c>
      <c r="J325" s="22">
        <f t="shared" si="3"/>
        <v>0.4082568807</v>
      </c>
      <c r="K325" s="22">
        <f t="shared" si="4"/>
        <v>0.002212684329</v>
      </c>
      <c r="L325" s="22">
        <f t="shared" si="5"/>
        <v>0.8039419728</v>
      </c>
      <c r="M325" s="22">
        <f t="shared" si="85"/>
        <v>0.4285714286</v>
      </c>
      <c r="N325" s="22">
        <f t="shared" si="86"/>
        <v>0.4298074003</v>
      </c>
      <c r="O325" s="22">
        <f t="shared" si="87"/>
        <v>0.3972736631</v>
      </c>
      <c r="P325" s="22">
        <f t="shared" si="9"/>
        <v>1.00086518</v>
      </c>
    </row>
    <row r="326">
      <c r="A326" s="8" t="s">
        <v>38</v>
      </c>
      <c r="B326" s="8" t="s">
        <v>80</v>
      </c>
      <c r="C326" s="8">
        <v>28.0</v>
      </c>
      <c r="D326" s="55">
        <v>0.89</v>
      </c>
      <c r="E326" s="21">
        <v>2.58</v>
      </c>
      <c r="F326" s="8">
        <v>0.007</v>
      </c>
      <c r="G326" s="21">
        <v>218.305029183</v>
      </c>
      <c r="H326" s="22">
        <f t="shared" si="1"/>
        <v>0.5446</v>
      </c>
      <c r="I326" s="22">
        <f t="shared" si="2"/>
        <v>1.836210062</v>
      </c>
      <c r="J326" s="22">
        <f t="shared" si="3"/>
        <v>0.3449612403</v>
      </c>
      <c r="K326" s="22">
        <f t="shared" si="4"/>
        <v>0.001580179997</v>
      </c>
      <c r="L326" s="22">
        <f t="shared" si="5"/>
        <v>0.5824091988</v>
      </c>
      <c r="M326" s="22">
        <f t="shared" si="85"/>
        <v>0.5714285714</v>
      </c>
      <c r="N326" s="22">
        <f t="shared" si="86"/>
        <v>0.6038475387</v>
      </c>
      <c r="O326" s="22">
        <f t="shared" si="87"/>
        <v>0.3219671388</v>
      </c>
      <c r="P326" s="22">
        <f t="shared" si="9"/>
        <v>1.020630252</v>
      </c>
    </row>
    <row r="327">
      <c r="A327" s="8" t="s">
        <v>38</v>
      </c>
      <c r="B327" s="8" t="s">
        <v>80</v>
      </c>
      <c r="C327" s="8">
        <v>29.0</v>
      </c>
      <c r="D327" s="55">
        <v>0.89</v>
      </c>
      <c r="E327" s="21">
        <v>2.51</v>
      </c>
      <c r="F327" s="8">
        <v>0.007</v>
      </c>
      <c r="G327" s="21">
        <v>212.288396086999</v>
      </c>
      <c r="H327" s="22">
        <f t="shared" si="1"/>
        <v>0.5446</v>
      </c>
      <c r="I327" s="22">
        <f t="shared" si="2"/>
        <v>1.836210062</v>
      </c>
      <c r="J327" s="22">
        <f t="shared" si="3"/>
        <v>0.3545816733</v>
      </c>
      <c r="K327" s="22">
        <f t="shared" si="4"/>
        <v>0.001670282879</v>
      </c>
      <c r="L327" s="22">
        <f t="shared" si="5"/>
        <v>0.5989157179</v>
      </c>
      <c r="M327" s="22">
        <f t="shared" si="85"/>
        <v>0.5714285714</v>
      </c>
      <c r="N327" s="22">
        <f t="shared" si="86"/>
        <v>0.5728649178</v>
      </c>
      <c r="O327" s="22">
        <f t="shared" si="87"/>
        <v>0.3283093146</v>
      </c>
      <c r="P327" s="22">
        <f t="shared" si="9"/>
        <v>1.000914039</v>
      </c>
    </row>
    <row r="328">
      <c r="A328" s="8" t="s">
        <v>38</v>
      </c>
      <c r="B328" s="8" t="s">
        <v>80</v>
      </c>
      <c r="C328" s="8">
        <v>30.0</v>
      </c>
      <c r="D328" s="55">
        <v>0.89</v>
      </c>
      <c r="E328" s="21">
        <v>2.65</v>
      </c>
      <c r="F328" s="8">
        <v>0.008</v>
      </c>
      <c r="G328" s="21">
        <v>224.745521412</v>
      </c>
      <c r="H328" s="22">
        <f t="shared" si="1"/>
        <v>0.6224</v>
      </c>
      <c r="I328" s="22">
        <f t="shared" si="2"/>
        <v>1.606683805</v>
      </c>
      <c r="J328" s="22">
        <f t="shared" si="3"/>
        <v>0.3358490566</v>
      </c>
      <c r="K328" s="22">
        <f t="shared" si="4"/>
        <v>0.00149435261</v>
      </c>
      <c r="L328" s="22">
        <f t="shared" si="5"/>
        <v>0.4950043022</v>
      </c>
      <c r="M328" s="22">
        <f t="shared" si="85"/>
        <v>0.7142857143</v>
      </c>
      <c r="N328" s="22">
        <f t="shared" si="86"/>
        <v>0.6370128199</v>
      </c>
      <c r="O328" s="22">
        <f t="shared" si="87"/>
        <v>0.2891571854</v>
      </c>
      <c r="P328" s="22">
        <f t="shared" si="9"/>
        <v>0.954924145</v>
      </c>
    </row>
    <row r="329">
      <c r="A329" s="8" t="s">
        <v>38</v>
      </c>
      <c r="B329" s="8" t="s">
        <v>80</v>
      </c>
      <c r="C329" s="8">
        <v>31.0</v>
      </c>
      <c r="D329" s="55">
        <v>0.89</v>
      </c>
      <c r="E329" s="21">
        <v>2.88</v>
      </c>
      <c r="F329" s="8">
        <v>0.008</v>
      </c>
      <c r="G329" s="21">
        <v>243.601429511999</v>
      </c>
      <c r="H329" s="22">
        <f t="shared" si="1"/>
        <v>0.6224</v>
      </c>
      <c r="I329" s="22">
        <f t="shared" si="2"/>
        <v>1.606683805</v>
      </c>
      <c r="J329" s="22">
        <f t="shared" si="3"/>
        <v>0.3090277778</v>
      </c>
      <c r="K329" s="22">
        <f t="shared" si="4"/>
        <v>0.001268579492</v>
      </c>
      <c r="L329" s="22">
        <f t="shared" si="5"/>
        <v>0.4566886172</v>
      </c>
      <c r="M329" s="22">
        <f t="shared" si="85"/>
        <v>0.7142857143</v>
      </c>
      <c r="N329" s="22">
        <f t="shared" si="86"/>
        <v>0.7341112208</v>
      </c>
      <c r="O329" s="22">
        <f t="shared" si="87"/>
        <v>0.2729663552</v>
      </c>
      <c r="P329" s="22">
        <f t="shared" si="9"/>
        <v>1.011564879</v>
      </c>
    </row>
    <row r="330">
      <c r="A330" s="8" t="s">
        <v>38</v>
      </c>
      <c r="B330" s="8" t="s">
        <v>80</v>
      </c>
      <c r="C330" s="8">
        <v>32.0</v>
      </c>
      <c r="D330" s="55">
        <v>0.89</v>
      </c>
      <c r="E330" s="21">
        <v>2.91</v>
      </c>
      <c r="F330" s="8">
        <v>0.008</v>
      </c>
      <c r="G330" s="21">
        <v>246.53385527</v>
      </c>
      <c r="H330" s="22">
        <f t="shared" si="1"/>
        <v>0.6224</v>
      </c>
      <c r="I330" s="22">
        <f t="shared" si="2"/>
        <v>1.606683805</v>
      </c>
      <c r="J330" s="22">
        <f t="shared" si="3"/>
        <v>0.3058419244</v>
      </c>
      <c r="K330" s="22">
        <f t="shared" si="4"/>
        <v>0.001240567646</v>
      </c>
      <c r="L330" s="22">
        <f t="shared" si="5"/>
        <v>0.4512564811</v>
      </c>
      <c r="M330" s="22">
        <f t="shared" si="85"/>
        <v>0.7142857143</v>
      </c>
      <c r="N330" s="22">
        <f t="shared" si="86"/>
        <v>0.749211732</v>
      </c>
      <c r="O330" s="22">
        <f t="shared" si="87"/>
        <v>0.2706099044</v>
      </c>
      <c r="P330" s="22">
        <f t="shared" si="9"/>
        <v>1.02037351</v>
      </c>
    </row>
    <row r="331">
      <c r="A331" s="8" t="s">
        <v>38</v>
      </c>
      <c r="B331" s="8" t="s">
        <v>80</v>
      </c>
      <c r="C331" s="8">
        <v>33.0</v>
      </c>
      <c r="D331" s="55">
        <v>0.89</v>
      </c>
      <c r="E331" s="21">
        <v>2.24</v>
      </c>
      <c r="F331" s="8">
        <v>0.006</v>
      </c>
      <c r="G331" s="21">
        <v>189.435934461</v>
      </c>
      <c r="H331" s="22">
        <f t="shared" si="1"/>
        <v>0.4668</v>
      </c>
      <c r="I331" s="22">
        <f t="shared" si="2"/>
        <v>2.142245073</v>
      </c>
      <c r="J331" s="22">
        <f t="shared" si="3"/>
        <v>0.3973214286</v>
      </c>
      <c r="K331" s="22">
        <f t="shared" si="4"/>
        <v>0.00209739208</v>
      </c>
      <c r="L331" s="22">
        <f t="shared" si="5"/>
        <v>0.7830263765</v>
      </c>
      <c r="M331" s="22">
        <f t="shared" si="85"/>
        <v>0.4285714286</v>
      </c>
      <c r="N331" s="22">
        <f t="shared" si="86"/>
        <v>0.4551862853</v>
      </c>
      <c r="O331" s="22">
        <f t="shared" si="87"/>
        <v>0.3903450913</v>
      </c>
      <c r="P331" s="22">
        <f t="shared" si="9"/>
        <v>1.0186304</v>
      </c>
    </row>
    <row r="332">
      <c r="A332" s="8" t="s">
        <v>38</v>
      </c>
      <c r="B332" s="8" t="s">
        <v>92</v>
      </c>
      <c r="C332" s="8">
        <v>1.0</v>
      </c>
      <c r="D332" s="55">
        <v>0.89</v>
      </c>
      <c r="E332" s="21">
        <v>2.94</v>
      </c>
      <c r="F332" s="8">
        <v>0.008</v>
      </c>
      <c r="G332" s="21">
        <v>255.845252434</v>
      </c>
      <c r="H332" s="22">
        <f t="shared" si="1"/>
        <v>0.6224</v>
      </c>
      <c r="I332" s="22">
        <f t="shared" si="2"/>
        <v>1.606683805</v>
      </c>
      <c r="J332" s="22">
        <f t="shared" si="3"/>
        <v>0.3027210884</v>
      </c>
      <c r="K332" s="22">
        <f t="shared" si="4"/>
        <v>0.001183219487</v>
      </c>
      <c r="L332" s="22">
        <f t="shared" si="5"/>
        <v>0.4348331616</v>
      </c>
      <c r="M332" s="22">
        <f t="shared" si="85"/>
        <v>0.7142857143</v>
      </c>
      <c r="N332" s="22">
        <f t="shared" si="86"/>
        <v>0.7971607234</v>
      </c>
      <c r="O332" s="22">
        <f t="shared" si="87"/>
        <v>0.2633899202</v>
      </c>
      <c r="P332" s="22">
        <f t="shared" si="9"/>
        <v>1.048343755</v>
      </c>
    </row>
    <row r="333">
      <c r="A333" s="8" t="s">
        <v>38</v>
      </c>
      <c r="B333" s="8" t="s">
        <v>92</v>
      </c>
      <c r="C333" s="8">
        <v>2.0</v>
      </c>
      <c r="D333" s="55">
        <v>0.89</v>
      </c>
      <c r="E333" s="21">
        <v>1.93</v>
      </c>
      <c r="F333" s="8">
        <v>0.006</v>
      </c>
      <c r="G333" s="21">
        <v>166.239132933</v>
      </c>
      <c r="H333" s="22">
        <f t="shared" si="1"/>
        <v>0.4668</v>
      </c>
      <c r="I333" s="22">
        <f t="shared" si="2"/>
        <v>2.142245073</v>
      </c>
      <c r="J333" s="22">
        <f t="shared" si="3"/>
        <v>0.4611398964</v>
      </c>
      <c r="K333" s="22">
        <f t="shared" si="4"/>
        <v>0.002773955135</v>
      </c>
      <c r="L333" s="22">
        <f t="shared" si="5"/>
        <v>0.8922889016</v>
      </c>
      <c r="M333" s="22">
        <f t="shared" si="85"/>
        <v>0.4285714286</v>
      </c>
      <c r="N333" s="22">
        <f t="shared" si="86"/>
        <v>0.3357344763</v>
      </c>
      <c r="O333" s="22">
        <f t="shared" si="87"/>
        <v>0.425252798</v>
      </c>
      <c r="P333" s="22">
        <f t="shared" si="9"/>
        <v>0.9350141334</v>
      </c>
    </row>
    <row r="334">
      <c r="A334" s="8" t="s">
        <v>38</v>
      </c>
      <c r="B334" s="8" t="s">
        <v>92</v>
      </c>
      <c r="C334" s="8">
        <v>3.0</v>
      </c>
      <c r="D334" s="55">
        <v>0.89</v>
      </c>
      <c r="E334" s="21">
        <v>2.49</v>
      </c>
      <c r="F334" s="8">
        <v>0.007</v>
      </c>
      <c r="G334" s="21">
        <v>211.214951065999</v>
      </c>
      <c r="H334" s="22">
        <f t="shared" si="1"/>
        <v>0.5446</v>
      </c>
      <c r="I334" s="22">
        <f t="shared" si="2"/>
        <v>1.836210062</v>
      </c>
      <c r="J334" s="22">
        <f t="shared" si="3"/>
        <v>0.3574297189</v>
      </c>
      <c r="K334" s="22">
        <f t="shared" si="4"/>
        <v>0.001692255766</v>
      </c>
      <c r="L334" s="22">
        <f t="shared" si="5"/>
        <v>0.6019595512</v>
      </c>
      <c r="M334" s="22">
        <f t="shared" si="85"/>
        <v>0.5714285714</v>
      </c>
      <c r="N334" s="22">
        <f t="shared" si="86"/>
        <v>0.5673372182</v>
      </c>
      <c r="O334" s="22">
        <f t="shared" si="87"/>
        <v>0.329467199</v>
      </c>
      <c r="P334" s="22">
        <f t="shared" si="9"/>
        <v>0.9973964116</v>
      </c>
    </row>
    <row r="335">
      <c r="A335" s="8" t="s">
        <v>38</v>
      </c>
      <c r="B335" s="8" t="s">
        <v>92</v>
      </c>
      <c r="C335" s="8">
        <v>4.0</v>
      </c>
      <c r="D335" s="55">
        <v>0.89</v>
      </c>
      <c r="E335" s="21">
        <v>2.21</v>
      </c>
      <c r="F335" s="8">
        <v>0.006</v>
      </c>
      <c r="G335" s="21">
        <v>187.711030424</v>
      </c>
      <c r="H335" s="22">
        <f t="shared" si="1"/>
        <v>0.4668</v>
      </c>
      <c r="I335" s="22">
        <f t="shared" si="2"/>
        <v>2.142245073</v>
      </c>
      <c r="J335" s="22">
        <f t="shared" si="3"/>
        <v>0.4027149321</v>
      </c>
      <c r="K335" s="22">
        <f t="shared" si="4"/>
        <v>0.002145398335</v>
      </c>
      <c r="L335" s="22">
        <f t="shared" si="5"/>
        <v>0.79022172</v>
      </c>
      <c r="M335" s="22">
        <f t="shared" si="85"/>
        <v>0.4285714286</v>
      </c>
      <c r="N335" s="22">
        <f t="shared" si="86"/>
        <v>0.4463039009</v>
      </c>
      <c r="O335" s="22">
        <f t="shared" si="87"/>
        <v>0.3927423711</v>
      </c>
      <c r="P335" s="22">
        <f t="shared" si="9"/>
        <v>1.012412731</v>
      </c>
    </row>
    <row r="336">
      <c r="A336" s="8" t="s">
        <v>38</v>
      </c>
      <c r="B336" s="8" t="s">
        <v>92</v>
      </c>
      <c r="C336" s="8">
        <v>5.0</v>
      </c>
      <c r="D336" s="55">
        <v>0.89</v>
      </c>
      <c r="E336" s="21">
        <v>2.14</v>
      </c>
      <c r="F336" s="8">
        <v>0.006</v>
      </c>
      <c r="G336" s="21">
        <v>181.458057306</v>
      </c>
      <c r="H336" s="22">
        <f t="shared" si="1"/>
        <v>0.4668</v>
      </c>
      <c r="I336" s="22">
        <f t="shared" si="2"/>
        <v>2.142245073</v>
      </c>
      <c r="J336" s="22">
        <f t="shared" si="3"/>
        <v>0.4158878505</v>
      </c>
      <c r="K336" s="22">
        <f t="shared" si="4"/>
        <v>0.002291922754</v>
      </c>
      <c r="L336" s="22">
        <f t="shared" si="5"/>
        <v>0.817452449</v>
      </c>
      <c r="M336" s="22">
        <f t="shared" si="85"/>
        <v>0.4285714286</v>
      </c>
      <c r="N336" s="22">
        <f t="shared" si="86"/>
        <v>0.4141042483</v>
      </c>
      <c r="O336" s="22">
        <f t="shared" si="87"/>
        <v>0.4016852535</v>
      </c>
      <c r="P336" s="22">
        <f t="shared" si="9"/>
        <v>0.9898729738</v>
      </c>
    </row>
    <row r="337">
      <c r="A337" s="8" t="s">
        <v>38</v>
      </c>
      <c r="B337" s="8" t="s">
        <v>92</v>
      </c>
      <c r="C337" s="8">
        <v>6.0</v>
      </c>
      <c r="D337" s="55">
        <v>0.89</v>
      </c>
      <c r="E337" s="21">
        <v>2.47</v>
      </c>
      <c r="F337" s="8">
        <v>0.007</v>
      </c>
      <c r="G337" s="21">
        <v>209.123614646999</v>
      </c>
      <c r="H337" s="22">
        <f t="shared" si="1"/>
        <v>0.5446</v>
      </c>
      <c r="I337" s="22">
        <f t="shared" si="2"/>
        <v>1.836210062</v>
      </c>
      <c r="J337" s="22">
        <f t="shared" si="3"/>
        <v>0.3603238866</v>
      </c>
      <c r="K337" s="22">
        <f t="shared" si="4"/>
        <v>0.001723018643</v>
      </c>
      <c r="L337" s="22">
        <f t="shared" si="5"/>
        <v>0.6079794353</v>
      </c>
      <c r="M337" s="22">
        <f t="shared" si="85"/>
        <v>0.5714285714</v>
      </c>
      <c r="N337" s="22">
        <f t="shared" si="86"/>
        <v>0.5565678922</v>
      </c>
      <c r="O337" s="22">
        <f t="shared" si="87"/>
        <v>0.3317466624</v>
      </c>
      <c r="P337" s="22">
        <f t="shared" si="9"/>
        <v>0.9905432041</v>
      </c>
    </row>
    <row r="338">
      <c r="A338" s="8" t="s">
        <v>38</v>
      </c>
      <c r="B338" s="8" t="s">
        <v>92</v>
      </c>
      <c r="C338" s="8">
        <v>7.0</v>
      </c>
      <c r="D338" s="55">
        <v>0.89</v>
      </c>
      <c r="E338" s="21">
        <v>2.26</v>
      </c>
      <c r="F338" s="8">
        <v>0.006</v>
      </c>
      <c r="G338" s="21">
        <v>191.72608635</v>
      </c>
      <c r="H338" s="22">
        <f t="shared" si="1"/>
        <v>0.4668</v>
      </c>
      <c r="I338" s="22">
        <f t="shared" si="2"/>
        <v>2.142245073</v>
      </c>
      <c r="J338" s="22">
        <f t="shared" si="3"/>
        <v>0.3938053097</v>
      </c>
      <c r="K338" s="22">
        <f t="shared" si="4"/>
        <v>0.002053999626</v>
      </c>
      <c r="L338" s="22">
        <f t="shared" si="5"/>
        <v>0.7736731926</v>
      </c>
      <c r="M338" s="22">
        <f t="shared" si="85"/>
        <v>0.4285714286</v>
      </c>
      <c r="N338" s="22">
        <f t="shared" si="86"/>
        <v>0.4669794106</v>
      </c>
      <c r="O338" s="22">
        <f t="shared" si="87"/>
        <v>0.3872070864</v>
      </c>
      <c r="P338" s="22">
        <f t="shared" si="9"/>
        <v>1.026885587</v>
      </c>
    </row>
    <row r="339">
      <c r="A339" s="8" t="s">
        <v>38</v>
      </c>
      <c r="B339" s="8" t="s">
        <v>92</v>
      </c>
      <c r="C339" s="8">
        <v>8.0</v>
      </c>
      <c r="D339" s="55">
        <v>0.89</v>
      </c>
      <c r="E339" s="21">
        <v>2.15</v>
      </c>
      <c r="F339" s="8">
        <v>0.006</v>
      </c>
      <c r="G339" s="21">
        <v>182.649700648999</v>
      </c>
      <c r="H339" s="22">
        <f t="shared" si="1"/>
        <v>0.4668</v>
      </c>
      <c r="I339" s="22">
        <f t="shared" si="2"/>
        <v>2.142245073</v>
      </c>
      <c r="J339" s="22">
        <f t="shared" si="3"/>
        <v>0.4139534884</v>
      </c>
      <c r="K339" s="22">
        <f t="shared" si="4"/>
        <v>0.002266379232</v>
      </c>
      <c r="L339" s="22">
        <f t="shared" si="5"/>
        <v>0.812119225</v>
      </c>
      <c r="M339" s="22">
        <f t="shared" si="85"/>
        <v>0.4285714286</v>
      </c>
      <c r="N339" s="22">
        <f t="shared" si="86"/>
        <v>0.4202406095</v>
      </c>
      <c r="O339" s="22">
        <f t="shared" si="87"/>
        <v>0.3999497125</v>
      </c>
      <c r="P339" s="22">
        <f t="shared" si="9"/>
        <v>0.9941684267</v>
      </c>
    </row>
    <row r="340">
      <c r="A340" s="8" t="s">
        <v>38</v>
      </c>
      <c r="B340" s="8" t="s">
        <v>92</v>
      </c>
      <c r="C340" s="8">
        <v>9.0</v>
      </c>
      <c r="D340" s="55">
        <v>0.89</v>
      </c>
      <c r="E340" s="21">
        <v>1.85</v>
      </c>
      <c r="F340" s="8">
        <v>0.005</v>
      </c>
      <c r="G340" s="21">
        <v>156.497331516</v>
      </c>
      <c r="H340" s="22">
        <f t="shared" si="1"/>
        <v>0.389</v>
      </c>
      <c r="I340" s="22">
        <f t="shared" si="2"/>
        <v>2.570694087</v>
      </c>
      <c r="J340" s="22">
        <f t="shared" si="3"/>
        <v>0.4810810811</v>
      </c>
      <c r="K340" s="22">
        <f t="shared" si="4"/>
        <v>0.003074052934</v>
      </c>
      <c r="L340" s="22">
        <f t="shared" si="5"/>
        <v>1.137399586</v>
      </c>
      <c r="M340" s="22">
        <f t="shared" si="85"/>
        <v>0.2857142857</v>
      </c>
      <c r="N340" s="22">
        <f t="shared" si="86"/>
        <v>0.2855691205</v>
      </c>
      <c r="O340" s="22">
        <f t="shared" si="87"/>
        <v>0.4909410802</v>
      </c>
      <c r="P340" s="22">
        <f t="shared" si="9"/>
        <v>0.9998870937</v>
      </c>
    </row>
    <row r="341">
      <c r="A341" s="8" t="s">
        <v>38</v>
      </c>
      <c r="B341" s="8" t="s">
        <v>92</v>
      </c>
      <c r="C341" s="8">
        <v>10.0</v>
      </c>
      <c r="D341" s="55">
        <v>0.89</v>
      </c>
      <c r="E341" s="21">
        <v>2.0</v>
      </c>
      <c r="F341" s="8">
        <v>0.006</v>
      </c>
      <c r="G341" s="21">
        <v>169.429563137</v>
      </c>
      <c r="H341" s="22">
        <f t="shared" si="1"/>
        <v>0.4668</v>
      </c>
      <c r="I341" s="22">
        <f t="shared" si="2"/>
        <v>2.142245073</v>
      </c>
      <c r="J341" s="22">
        <f t="shared" si="3"/>
        <v>0.445</v>
      </c>
      <c r="K341" s="22">
        <f t="shared" si="4"/>
        <v>0.002626460175</v>
      </c>
      <c r="L341" s="22">
        <f t="shared" si="5"/>
        <v>0.8754867249</v>
      </c>
      <c r="M341" s="22">
        <f t="shared" si="85"/>
        <v>0.4285714286</v>
      </c>
      <c r="N341" s="22">
        <f t="shared" si="86"/>
        <v>0.35216358</v>
      </c>
      <c r="O341" s="22">
        <f t="shared" si="87"/>
        <v>0.420085877</v>
      </c>
      <c r="P341" s="22">
        <f t="shared" si="9"/>
        <v>0.946514506</v>
      </c>
    </row>
    <row r="342">
      <c r="A342" s="8" t="s">
        <v>38</v>
      </c>
      <c r="B342" s="8" t="s">
        <v>92</v>
      </c>
      <c r="C342" s="8">
        <v>11.0</v>
      </c>
      <c r="D342" s="55">
        <v>0.89</v>
      </c>
      <c r="E342" s="21">
        <v>1.9</v>
      </c>
      <c r="F342" s="8">
        <v>0.005</v>
      </c>
      <c r="G342" s="21">
        <v>161.024771324</v>
      </c>
      <c r="H342" s="22">
        <f t="shared" si="1"/>
        <v>0.389</v>
      </c>
      <c r="I342" s="22">
        <f t="shared" si="2"/>
        <v>2.570694087</v>
      </c>
      <c r="J342" s="22">
        <f t="shared" si="3"/>
        <v>0.4684210526</v>
      </c>
      <c r="K342" s="22">
        <f t="shared" si="4"/>
        <v>0.002908999956</v>
      </c>
      <c r="L342" s="22">
        <f t="shared" si="5"/>
        <v>1.105419983</v>
      </c>
      <c r="M342" s="22">
        <f t="shared" si="85"/>
        <v>0.2857142857</v>
      </c>
      <c r="N342" s="22">
        <f t="shared" si="86"/>
        <v>0.3088831482</v>
      </c>
      <c r="O342" s="22">
        <f t="shared" si="87"/>
        <v>0.4821963622</v>
      </c>
      <c r="P342" s="22">
        <f t="shared" si="9"/>
        <v>1.018020226</v>
      </c>
    </row>
    <row r="343">
      <c r="A343" s="8" t="s">
        <v>38</v>
      </c>
      <c r="B343" s="8" t="s">
        <v>92</v>
      </c>
      <c r="C343" s="8">
        <v>12.0</v>
      </c>
      <c r="D343" s="55">
        <v>0.89</v>
      </c>
      <c r="E343" s="21">
        <v>2.11</v>
      </c>
      <c r="F343" s="8">
        <v>0.006</v>
      </c>
      <c r="G343" s="21">
        <v>178.635064981999</v>
      </c>
      <c r="H343" s="22">
        <f t="shared" si="1"/>
        <v>0.4668</v>
      </c>
      <c r="I343" s="22">
        <f t="shared" si="2"/>
        <v>2.142245073</v>
      </c>
      <c r="J343" s="22">
        <f t="shared" si="3"/>
        <v>0.4218009479</v>
      </c>
      <c r="K343" s="22">
        <f t="shared" si="4"/>
        <v>0.002361243846</v>
      </c>
      <c r="L343" s="22">
        <f t="shared" si="5"/>
        <v>0.8303707525</v>
      </c>
      <c r="M343" s="22">
        <f t="shared" si="85"/>
        <v>0.4285714286</v>
      </c>
      <c r="N343" s="22">
        <f t="shared" si="86"/>
        <v>0.399567264</v>
      </c>
      <c r="O343" s="22">
        <f t="shared" si="87"/>
        <v>0.4058574661</v>
      </c>
      <c r="P343" s="22">
        <f t="shared" si="9"/>
        <v>0.9796970848</v>
      </c>
    </row>
    <row r="344">
      <c r="A344" s="8" t="s">
        <v>38</v>
      </c>
      <c r="B344" s="8" t="s">
        <v>92</v>
      </c>
      <c r="C344" s="8">
        <v>13.0</v>
      </c>
      <c r="D344" s="55">
        <v>0.89</v>
      </c>
      <c r="E344" s="21">
        <v>2.01</v>
      </c>
      <c r="F344" s="8">
        <v>0.006</v>
      </c>
      <c r="G344" s="21">
        <v>170.01540144</v>
      </c>
      <c r="H344" s="22">
        <f t="shared" si="1"/>
        <v>0.4668</v>
      </c>
      <c r="I344" s="22">
        <f t="shared" si="2"/>
        <v>2.142245073</v>
      </c>
      <c r="J344" s="22">
        <f t="shared" si="3"/>
        <v>0.4427860697</v>
      </c>
      <c r="K344" s="22">
        <f t="shared" si="4"/>
        <v>0.00260438799</v>
      </c>
      <c r="L344" s="22">
        <f t="shared" si="5"/>
        <v>0.8724699767</v>
      </c>
      <c r="M344" s="22">
        <f t="shared" si="85"/>
        <v>0.4285714286</v>
      </c>
      <c r="N344" s="22">
        <f t="shared" si="86"/>
        <v>0.3551803513</v>
      </c>
      <c r="O344" s="22">
        <f t="shared" si="87"/>
        <v>0.4191507225</v>
      </c>
      <c r="P344" s="22">
        <f t="shared" si="9"/>
        <v>0.9486262459</v>
      </c>
    </row>
    <row r="345">
      <c r="A345" s="8" t="s">
        <v>38</v>
      </c>
      <c r="B345" s="8" t="s">
        <v>92</v>
      </c>
      <c r="C345" s="8">
        <v>14.0</v>
      </c>
      <c r="D345" s="55">
        <v>0.89</v>
      </c>
      <c r="E345" s="21">
        <v>2.37</v>
      </c>
      <c r="F345" s="8">
        <v>0.007</v>
      </c>
      <c r="G345" s="21">
        <v>200.440478093999</v>
      </c>
      <c r="H345" s="22">
        <f t="shared" si="1"/>
        <v>0.5446</v>
      </c>
      <c r="I345" s="22">
        <f t="shared" si="2"/>
        <v>1.836210062</v>
      </c>
      <c r="J345" s="22">
        <f t="shared" si="3"/>
        <v>0.3755274262</v>
      </c>
      <c r="K345" s="22">
        <f t="shared" si="4"/>
        <v>0.001873510928</v>
      </c>
      <c r="L345" s="22">
        <f t="shared" si="5"/>
        <v>0.6343172714</v>
      </c>
      <c r="M345" s="22">
        <f t="shared" si="85"/>
        <v>0.5714285714</v>
      </c>
      <c r="N345" s="22">
        <f t="shared" si="86"/>
        <v>0.5118541256</v>
      </c>
      <c r="O345" s="22">
        <f t="shared" si="87"/>
        <v>0.3415582194</v>
      </c>
      <c r="P345" s="22">
        <f t="shared" si="9"/>
        <v>0.962088989</v>
      </c>
    </row>
    <row r="346">
      <c r="A346" s="8" t="s">
        <v>38</v>
      </c>
      <c r="B346" s="8" t="s">
        <v>92</v>
      </c>
      <c r="C346" s="8">
        <v>15.0</v>
      </c>
      <c r="D346" s="55">
        <v>0.89</v>
      </c>
      <c r="E346" s="21">
        <v>2.12</v>
      </c>
      <c r="F346" s="8">
        <v>0.006</v>
      </c>
      <c r="G346" s="21">
        <v>179.452639200999</v>
      </c>
      <c r="H346" s="22">
        <f t="shared" si="1"/>
        <v>0.4668</v>
      </c>
      <c r="I346" s="22">
        <f t="shared" si="2"/>
        <v>2.142245073</v>
      </c>
      <c r="J346" s="22">
        <f t="shared" si="3"/>
        <v>0.4198113208</v>
      </c>
      <c r="K346" s="22">
        <f t="shared" si="4"/>
        <v>0.002339398978</v>
      </c>
      <c r="L346" s="22">
        <f t="shared" si="5"/>
        <v>0.8265876389</v>
      </c>
      <c r="M346" s="22">
        <f t="shared" si="85"/>
        <v>0.4285714286</v>
      </c>
      <c r="N346" s="22">
        <f t="shared" si="86"/>
        <v>0.4037773582</v>
      </c>
      <c r="O346" s="22">
        <f t="shared" si="87"/>
        <v>0.4046402516</v>
      </c>
      <c r="P346" s="22">
        <f t="shared" si="9"/>
        <v>0.9826441507</v>
      </c>
    </row>
    <row r="347">
      <c r="A347" s="8" t="s">
        <v>38</v>
      </c>
      <c r="B347" s="8" t="s">
        <v>92</v>
      </c>
      <c r="C347" s="8">
        <v>16.0</v>
      </c>
      <c r="D347" s="55">
        <v>0.89</v>
      </c>
      <c r="E347" s="21">
        <v>2.3</v>
      </c>
      <c r="F347" s="8">
        <v>0.007</v>
      </c>
      <c r="G347" s="21">
        <v>194.720336087999</v>
      </c>
      <c r="H347" s="22">
        <f t="shared" si="1"/>
        <v>0.5446</v>
      </c>
      <c r="I347" s="22">
        <f t="shared" si="2"/>
        <v>1.836210062</v>
      </c>
      <c r="J347" s="22">
        <f t="shared" si="3"/>
        <v>0.3869565217</v>
      </c>
      <c r="K347" s="22">
        <f t="shared" si="4"/>
        <v>0.00198724247</v>
      </c>
      <c r="L347" s="22">
        <f t="shared" si="5"/>
        <v>0.6529510974</v>
      </c>
      <c r="M347" s="22">
        <f t="shared" si="85"/>
        <v>0.5714285714</v>
      </c>
      <c r="N347" s="22">
        <f t="shared" si="86"/>
        <v>0.482398284</v>
      </c>
      <c r="O347" s="22">
        <f t="shared" si="87"/>
        <v>0.3483451166</v>
      </c>
      <c r="P347" s="22">
        <f t="shared" si="9"/>
        <v>0.9433443626</v>
      </c>
    </row>
    <row r="348">
      <c r="A348" s="8" t="s">
        <v>38</v>
      </c>
      <c r="B348" s="8" t="s">
        <v>92</v>
      </c>
      <c r="C348" s="8">
        <v>17.0</v>
      </c>
      <c r="D348" s="55">
        <v>0.89</v>
      </c>
      <c r="E348" s="21">
        <v>2.26</v>
      </c>
      <c r="F348" s="8">
        <v>0.006</v>
      </c>
      <c r="G348" s="21">
        <v>191.685852539999</v>
      </c>
      <c r="H348" s="22">
        <f t="shared" si="1"/>
        <v>0.4668</v>
      </c>
      <c r="I348" s="22">
        <f t="shared" si="2"/>
        <v>2.142245073</v>
      </c>
      <c r="J348" s="22">
        <f t="shared" si="3"/>
        <v>0.3938053097</v>
      </c>
      <c r="K348" s="22">
        <f t="shared" si="4"/>
        <v>0.00205443075</v>
      </c>
      <c r="L348" s="22">
        <f t="shared" si="5"/>
        <v>0.7738355824</v>
      </c>
      <c r="M348" s="22">
        <f t="shared" si="85"/>
        <v>0.4285714286</v>
      </c>
      <c r="N348" s="22">
        <f t="shared" si="86"/>
        <v>0.4667722268</v>
      </c>
      <c r="O348" s="22">
        <f t="shared" si="87"/>
        <v>0.38726178</v>
      </c>
      <c r="P348" s="22">
        <f t="shared" si="9"/>
        <v>1.026740559</v>
      </c>
    </row>
    <row r="349">
      <c r="A349" s="8" t="s">
        <v>38</v>
      </c>
      <c r="B349" s="8" t="s">
        <v>92</v>
      </c>
      <c r="C349" s="8">
        <v>18.0</v>
      </c>
      <c r="D349" s="55">
        <v>0.89</v>
      </c>
      <c r="E349" s="21">
        <v>2.19</v>
      </c>
      <c r="F349" s="8">
        <v>0.006</v>
      </c>
      <c r="G349" s="21">
        <v>185.996052354999</v>
      </c>
      <c r="H349" s="22">
        <f t="shared" si="1"/>
        <v>0.4668</v>
      </c>
      <c r="I349" s="22">
        <f t="shared" si="2"/>
        <v>2.142245073</v>
      </c>
      <c r="J349" s="22">
        <f t="shared" si="3"/>
        <v>0.4063926941</v>
      </c>
      <c r="K349" s="22">
        <f t="shared" si="4"/>
        <v>0.002184953331</v>
      </c>
      <c r="L349" s="22">
        <f t="shared" si="5"/>
        <v>0.7975079657</v>
      </c>
      <c r="M349" s="22">
        <f t="shared" si="85"/>
        <v>0.4285714286</v>
      </c>
      <c r="N349" s="22">
        <f t="shared" si="86"/>
        <v>0.4374726302</v>
      </c>
      <c r="O349" s="22">
        <f t="shared" si="87"/>
        <v>0.3951552269</v>
      </c>
      <c r="P349" s="22">
        <f t="shared" si="9"/>
        <v>1.006230841</v>
      </c>
    </row>
    <row r="350">
      <c r="A350" s="8" t="s">
        <v>38</v>
      </c>
      <c r="B350" s="8" t="s">
        <v>92</v>
      </c>
      <c r="C350" s="8">
        <v>19.0</v>
      </c>
      <c r="D350" s="55">
        <v>0.89</v>
      </c>
      <c r="E350" s="21">
        <v>2.45</v>
      </c>
      <c r="F350" s="8">
        <v>0.007</v>
      </c>
      <c r="G350" s="21">
        <v>207.542813180999</v>
      </c>
      <c r="H350" s="22">
        <f t="shared" si="1"/>
        <v>0.5446</v>
      </c>
      <c r="I350" s="22">
        <f t="shared" si="2"/>
        <v>1.836210062</v>
      </c>
      <c r="J350" s="22">
        <f t="shared" si="3"/>
        <v>0.3632653061</v>
      </c>
      <c r="K350" s="22">
        <f t="shared" si="4"/>
        <v>0.001750315034</v>
      </c>
      <c r="L350" s="22">
        <f t="shared" si="5"/>
        <v>0.6126102619</v>
      </c>
      <c r="M350" s="22">
        <f t="shared" si="85"/>
        <v>0.5714285714</v>
      </c>
      <c r="N350" s="22">
        <f t="shared" si="86"/>
        <v>0.5484275632</v>
      </c>
      <c r="O350" s="22">
        <f t="shared" si="87"/>
        <v>0.3334907072</v>
      </c>
      <c r="P350" s="22">
        <f t="shared" si="9"/>
        <v>0.9853629948</v>
      </c>
    </row>
    <row r="351">
      <c r="A351" s="8" t="s">
        <v>38</v>
      </c>
      <c r="B351" s="8" t="s">
        <v>92</v>
      </c>
      <c r="C351" s="8">
        <v>20.0</v>
      </c>
      <c r="D351" s="55">
        <v>0.89</v>
      </c>
      <c r="E351" s="21">
        <v>2.49</v>
      </c>
      <c r="F351" s="8">
        <v>0.007</v>
      </c>
      <c r="G351" s="21">
        <v>210.972183687</v>
      </c>
      <c r="H351" s="22">
        <f t="shared" si="1"/>
        <v>0.5446</v>
      </c>
      <c r="I351" s="22">
        <f t="shared" si="2"/>
        <v>1.836210062</v>
      </c>
      <c r="J351" s="22">
        <f t="shared" si="3"/>
        <v>0.3574297189</v>
      </c>
      <c r="K351" s="22">
        <f t="shared" si="4"/>
        <v>0.001694203059</v>
      </c>
      <c r="L351" s="22">
        <f t="shared" si="5"/>
        <v>0.6026522308</v>
      </c>
      <c r="M351" s="22">
        <f t="shared" si="85"/>
        <v>0.5714285714</v>
      </c>
      <c r="N351" s="22">
        <f t="shared" si="86"/>
        <v>0.5660870889</v>
      </c>
      <c r="O351" s="22">
        <f t="shared" si="87"/>
        <v>0.3297301962</v>
      </c>
      <c r="P351" s="22">
        <f t="shared" si="9"/>
        <v>0.9966008747</v>
      </c>
    </row>
    <row r="352">
      <c r="A352" s="8" t="s">
        <v>38</v>
      </c>
      <c r="B352" s="8" t="s">
        <v>92</v>
      </c>
      <c r="C352" s="8">
        <v>21.0</v>
      </c>
      <c r="D352" s="55">
        <v>0.89</v>
      </c>
      <c r="E352" s="21">
        <v>2.33</v>
      </c>
      <c r="F352" s="8">
        <v>0.007</v>
      </c>
      <c r="G352" s="21">
        <v>197.026514004</v>
      </c>
      <c r="H352" s="22">
        <f t="shared" si="1"/>
        <v>0.5446</v>
      </c>
      <c r="I352" s="22">
        <f t="shared" si="2"/>
        <v>1.836210062</v>
      </c>
      <c r="J352" s="22">
        <f t="shared" si="3"/>
        <v>0.3819742489</v>
      </c>
      <c r="K352" s="22">
        <f t="shared" si="4"/>
        <v>0.001938694652</v>
      </c>
      <c r="L352" s="22">
        <f t="shared" si="5"/>
        <v>0.6453083626</v>
      </c>
      <c r="M352" s="22">
        <f t="shared" si="85"/>
        <v>0.5714285714</v>
      </c>
      <c r="N352" s="22">
        <f t="shared" si="86"/>
        <v>0.4942739352</v>
      </c>
      <c r="O352" s="22">
        <f t="shared" si="87"/>
        <v>0.345576665</v>
      </c>
      <c r="P352" s="22">
        <f t="shared" si="9"/>
        <v>0.9509015951</v>
      </c>
    </row>
    <row r="353">
      <c r="A353" s="8" t="s">
        <v>38</v>
      </c>
      <c r="B353" s="8" t="s">
        <v>92</v>
      </c>
      <c r="C353" s="8">
        <v>22.0</v>
      </c>
      <c r="D353" s="55">
        <v>0.89</v>
      </c>
      <c r="E353" s="21">
        <v>1.93</v>
      </c>
      <c r="F353" s="8">
        <v>0.006</v>
      </c>
      <c r="G353" s="21">
        <v>163.566542821999</v>
      </c>
      <c r="H353" s="22">
        <f t="shared" si="1"/>
        <v>0.4668</v>
      </c>
      <c r="I353" s="22">
        <f t="shared" si="2"/>
        <v>2.142245073</v>
      </c>
      <c r="J353" s="22">
        <f t="shared" si="3"/>
        <v>0.4611398964</v>
      </c>
      <c r="K353" s="22">
        <f t="shared" si="4"/>
        <v>0.002819280083</v>
      </c>
      <c r="L353" s="22">
        <f t="shared" si="5"/>
        <v>0.9068684266</v>
      </c>
      <c r="M353" s="22">
        <f t="shared" si="85"/>
        <v>0.4285714286</v>
      </c>
      <c r="N353" s="22">
        <f t="shared" si="86"/>
        <v>0.3219719874</v>
      </c>
      <c r="O353" s="22">
        <f t="shared" si="87"/>
        <v>0.4296799243</v>
      </c>
      <c r="P353" s="22">
        <f t="shared" si="9"/>
        <v>0.9253803912</v>
      </c>
    </row>
    <row r="354">
      <c r="A354" s="8" t="s">
        <v>38</v>
      </c>
      <c r="B354" s="8" t="s">
        <v>92</v>
      </c>
      <c r="C354" s="8">
        <v>23.0</v>
      </c>
      <c r="D354" s="55">
        <v>0.89</v>
      </c>
      <c r="E354" s="21">
        <v>2.31</v>
      </c>
      <c r="F354" s="8">
        <v>0.007</v>
      </c>
      <c r="G354" s="21">
        <v>195.885442795</v>
      </c>
      <c r="H354" s="22">
        <f t="shared" si="1"/>
        <v>0.5446</v>
      </c>
      <c r="I354" s="22">
        <f t="shared" si="2"/>
        <v>1.836210062</v>
      </c>
      <c r="J354" s="22">
        <f t="shared" si="3"/>
        <v>0.3852813853</v>
      </c>
      <c r="K354" s="22">
        <f t="shared" si="4"/>
        <v>0.001966870941</v>
      </c>
      <c r="L354" s="22">
        <f t="shared" si="5"/>
        <v>0.6490674107</v>
      </c>
      <c r="M354" s="22">
        <f t="shared" si="85"/>
        <v>0.5714285714</v>
      </c>
      <c r="N354" s="22">
        <f t="shared" si="86"/>
        <v>0.488397995</v>
      </c>
      <c r="O354" s="22">
        <f t="shared" si="87"/>
        <v>0.3469409424</v>
      </c>
      <c r="P354" s="22">
        <f t="shared" si="9"/>
        <v>0.9471623604</v>
      </c>
    </row>
    <row r="355">
      <c r="A355" s="8" t="s">
        <v>38</v>
      </c>
      <c r="B355" s="8" t="s">
        <v>92</v>
      </c>
      <c r="C355" s="8">
        <v>24.0</v>
      </c>
      <c r="D355" s="55">
        <v>0.89</v>
      </c>
      <c r="E355" s="21">
        <v>2.62</v>
      </c>
      <c r="F355" s="8">
        <v>0.008</v>
      </c>
      <c r="G355" s="21">
        <v>222.259492924</v>
      </c>
      <c r="H355" s="22">
        <f t="shared" si="1"/>
        <v>0.6224</v>
      </c>
      <c r="I355" s="22">
        <f t="shared" si="2"/>
        <v>1.606683805</v>
      </c>
      <c r="J355" s="22">
        <f t="shared" si="3"/>
        <v>0.3396946565</v>
      </c>
      <c r="K355" s="22">
        <f t="shared" si="4"/>
        <v>0.001528369619</v>
      </c>
      <c r="L355" s="22">
        <f t="shared" si="5"/>
        <v>0.5005410502</v>
      </c>
      <c r="M355" s="22">
        <f t="shared" si="85"/>
        <v>0.7142857143</v>
      </c>
      <c r="N355" s="22">
        <f t="shared" si="86"/>
        <v>0.6242110292</v>
      </c>
      <c r="O355" s="22">
        <f t="shared" si="87"/>
        <v>0.2914362795</v>
      </c>
      <c r="P355" s="22">
        <f t="shared" si="9"/>
        <v>0.9474564337</v>
      </c>
    </row>
    <row r="356">
      <c r="A356" s="8" t="s">
        <v>38</v>
      </c>
      <c r="B356" s="8" t="s">
        <v>92</v>
      </c>
      <c r="C356" s="8">
        <v>25.0</v>
      </c>
      <c r="D356" s="55">
        <v>0.89</v>
      </c>
      <c r="E356" s="21">
        <v>2.66</v>
      </c>
      <c r="F356" s="8">
        <v>0.008</v>
      </c>
      <c r="G356" s="21">
        <v>225.469079733</v>
      </c>
      <c r="H356" s="22">
        <f t="shared" si="1"/>
        <v>0.6224</v>
      </c>
      <c r="I356" s="22">
        <f t="shared" si="2"/>
        <v>1.606683805</v>
      </c>
      <c r="J356" s="22">
        <f t="shared" si="3"/>
        <v>0.3345864662</v>
      </c>
      <c r="K356" s="22">
        <f t="shared" si="4"/>
        <v>0.001483957209</v>
      </c>
      <c r="L356" s="22">
        <f t="shared" si="5"/>
        <v>0.4934157718</v>
      </c>
      <c r="M356" s="22">
        <f t="shared" si="85"/>
        <v>0.7142857143</v>
      </c>
      <c r="N356" s="22">
        <f t="shared" si="86"/>
        <v>0.6407387798</v>
      </c>
      <c r="O356" s="22">
        <f t="shared" si="87"/>
        <v>0.2885005373</v>
      </c>
      <c r="P356" s="22">
        <f t="shared" si="9"/>
        <v>0.9570976215</v>
      </c>
    </row>
    <row r="357">
      <c r="A357" s="8" t="s">
        <v>38</v>
      </c>
      <c r="B357" s="8" t="s">
        <v>92</v>
      </c>
      <c r="C357" s="8">
        <v>26.0</v>
      </c>
      <c r="D357" s="55">
        <v>0.89</v>
      </c>
      <c r="E357" s="21">
        <v>2.15</v>
      </c>
      <c r="F357" s="8">
        <v>0.006</v>
      </c>
      <c r="G357" s="21">
        <v>182.255968489</v>
      </c>
      <c r="H357" s="22">
        <f t="shared" si="1"/>
        <v>0.4668</v>
      </c>
      <c r="I357" s="22">
        <f t="shared" si="2"/>
        <v>2.142245073</v>
      </c>
      <c r="J357" s="22">
        <f t="shared" si="3"/>
        <v>0.4139534884</v>
      </c>
      <c r="K357" s="22">
        <f t="shared" si="4"/>
        <v>0.002271275349</v>
      </c>
      <c r="L357" s="22">
        <f t="shared" si="5"/>
        <v>0.8138736666</v>
      </c>
      <c r="M357" s="22">
        <f t="shared" si="85"/>
        <v>0.4285714286</v>
      </c>
      <c r="N357" s="22">
        <f t="shared" si="86"/>
        <v>0.4182130878</v>
      </c>
      <c r="O357" s="22">
        <f t="shared" si="87"/>
        <v>0.4005214931</v>
      </c>
      <c r="P357" s="22">
        <f t="shared" si="9"/>
        <v>0.9927491615</v>
      </c>
    </row>
    <row r="358">
      <c r="A358" s="8" t="s">
        <v>38</v>
      </c>
      <c r="B358" s="8" t="s">
        <v>92</v>
      </c>
      <c r="C358" s="8">
        <v>27.0</v>
      </c>
      <c r="D358" s="55">
        <v>0.89</v>
      </c>
      <c r="E358" s="21">
        <v>1.85</v>
      </c>
      <c r="F358" s="8">
        <v>0.005</v>
      </c>
      <c r="G358" s="21">
        <v>156.563036667</v>
      </c>
      <c r="H358" s="22">
        <f t="shared" si="1"/>
        <v>0.389</v>
      </c>
      <c r="I358" s="22">
        <f t="shared" si="2"/>
        <v>2.570694087</v>
      </c>
      <c r="J358" s="22">
        <f t="shared" si="3"/>
        <v>0.4810810811</v>
      </c>
      <c r="K358" s="22">
        <f t="shared" si="4"/>
        <v>0.003072762839</v>
      </c>
      <c r="L358" s="22">
        <f t="shared" si="5"/>
        <v>1.136922251</v>
      </c>
      <c r="M358" s="22">
        <f t="shared" si="85"/>
        <v>0.2857142857</v>
      </c>
      <c r="N358" s="22">
        <f t="shared" si="86"/>
        <v>0.2859074688</v>
      </c>
      <c r="O358" s="22">
        <f t="shared" si="87"/>
        <v>0.4908119037</v>
      </c>
      <c r="P358" s="22">
        <f t="shared" si="9"/>
        <v>1.000150254</v>
      </c>
    </row>
    <row r="359">
      <c r="A359" s="8" t="s">
        <v>38</v>
      </c>
      <c r="B359" s="8" t="s">
        <v>92</v>
      </c>
      <c r="C359" s="8">
        <v>28.0</v>
      </c>
      <c r="D359" s="55">
        <v>0.89</v>
      </c>
      <c r="E359" s="21">
        <v>2.27</v>
      </c>
      <c r="F359" s="8">
        <v>0.007</v>
      </c>
      <c r="G359" s="21">
        <v>192.288539735</v>
      </c>
      <c r="H359" s="22">
        <f t="shared" si="1"/>
        <v>0.5446</v>
      </c>
      <c r="I359" s="22">
        <f t="shared" si="2"/>
        <v>1.836210062</v>
      </c>
      <c r="J359" s="22">
        <f t="shared" si="3"/>
        <v>0.3920704846</v>
      </c>
      <c r="K359" s="22">
        <f t="shared" si="4"/>
        <v>0.002038969588</v>
      </c>
      <c r="L359" s="22">
        <f t="shared" si="5"/>
        <v>0.6612087092</v>
      </c>
      <c r="M359" s="22">
        <f t="shared" si="85"/>
        <v>0.5714285714</v>
      </c>
      <c r="N359" s="22">
        <f t="shared" si="86"/>
        <v>0.4698757613</v>
      </c>
      <c r="O359" s="22">
        <f t="shared" si="87"/>
        <v>0.351312823</v>
      </c>
      <c r="P359" s="22">
        <f t="shared" si="9"/>
        <v>0.9353754845</v>
      </c>
    </row>
    <row r="360">
      <c r="A360" s="8" t="s">
        <v>38</v>
      </c>
      <c r="B360" s="8" t="s">
        <v>92</v>
      </c>
      <c r="C360" s="8">
        <v>29.0</v>
      </c>
      <c r="D360" s="55">
        <v>0.89</v>
      </c>
      <c r="E360" s="21">
        <v>2.07</v>
      </c>
      <c r="F360" s="8">
        <v>0.006</v>
      </c>
      <c r="G360" s="21">
        <v>174.984887491999</v>
      </c>
      <c r="H360" s="22">
        <f t="shared" si="1"/>
        <v>0.4668</v>
      </c>
      <c r="I360" s="22">
        <f t="shared" si="2"/>
        <v>2.142245073</v>
      </c>
      <c r="J360" s="22">
        <f t="shared" si="3"/>
        <v>0.4299516908</v>
      </c>
      <c r="K360" s="22">
        <f t="shared" si="4"/>
        <v>0.002457078991</v>
      </c>
      <c r="L360" s="22">
        <f t="shared" si="5"/>
        <v>0.8476922519</v>
      </c>
      <c r="M360" s="22">
        <f t="shared" si="85"/>
        <v>0.4285714286</v>
      </c>
      <c r="N360" s="22">
        <f t="shared" si="86"/>
        <v>0.380770694</v>
      </c>
      <c r="O360" s="22">
        <f t="shared" si="87"/>
        <v>0.4113824445</v>
      </c>
      <c r="P360" s="22">
        <f t="shared" si="9"/>
        <v>0.9665394858</v>
      </c>
    </row>
    <row r="361">
      <c r="A361" s="8" t="s">
        <v>38</v>
      </c>
      <c r="B361" s="8" t="s">
        <v>92</v>
      </c>
      <c r="C361" s="8">
        <v>30.0</v>
      </c>
      <c r="D361" s="55">
        <v>0.89</v>
      </c>
      <c r="E361" s="21">
        <v>2.26</v>
      </c>
      <c r="F361" s="8">
        <v>0.006</v>
      </c>
      <c r="G361" s="21">
        <v>191.781281354999</v>
      </c>
      <c r="H361" s="22">
        <f t="shared" si="1"/>
        <v>0.4668</v>
      </c>
      <c r="I361" s="22">
        <f t="shared" si="2"/>
        <v>2.142245073</v>
      </c>
      <c r="J361" s="22">
        <f t="shared" si="3"/>
        <v>0.3938053097</v>
      </c>
      <c r="K361" s="22">
        <f t="shared" si="4"/>
        <v>0.002053408482</v>
      </c>
      <c r="L361" s="22">
        <f t="shared" si="5"/>
        <v>0.773450528</v>
      </c>
      <c r="M361" s="22">
        <f t="shared" si="85"/>
        <v>0.4285714286</v>
      </c>
      <c r="N361" s="22">
        <f t="shared" si="86"/>
        <v>0.4672636369</v>
      </c>
      <c r="O361" s="22">
        <f t="shared" si="87"/>
        <v>0.3871320798</v>
      </c>
      <c r="P361" s="22">
        <f t="shared" si="9"/>
        <v>1.027084546</v>
      </c>
    </row>
    <row r="362">
      <c r="A362" s="8" t="s">
        <v>38</v>
      </c>
      <c r="B362" s="8" t="s">
        <v>92</v>
      </c>
      <c r="C362" s="8">
        <v>31.0</v>
      </c>
      <c r="D362" s="55">
        <v>0.89</v>
      </c>
      <c r="E362" s="21">
        <v>1.93</v>
      </c>
      <c r="F362" s="8">
        <v>0.006</v>
      </c>
      <c r="G362" s="21">
        <v>163.297009234</v>
      </c>
      <c r="H362" s="22">
        <f t="shared" si="1"/>
        <v>0.4668</v>
      </c>
      <c r="I362" s="22">
        <f t="shared" si="2"/>
        <v>2.142245073</v>
      </c>
      <c r="J362" s="22">
        <f t="shared" si="3"/>
        <v>0.4611398964</v>
      </c>
      <c r="K362" s="22">
        <f t="shared" si="4"/>
        <v>0.002823933509</v>
      </c>
      <c r="L362" s="22">
        <f t="shared" si="5"/>
        <v>0.9083652789</v>
      </c>
      <c r="M362" s="22">
        <f t="shared" si="85"/>
        <v>0.4285714286</v>
      </c>
      <c r="N362" s="22">
        <f t="shared" si="86"/>
        <v>0.3205840256</v>
      </c>
      <c r="O362" s="22">
        <f t="shared" si="87"/>
        <v>0.430131527</v>
      </c>
      <c r="P362" s="22">
        <f t="shared" si="9"/>
        <v>0.9244088179</v>
      </c>
    </row>
    <row r="363">
      <c r="A363" s="8" t="s">
        <v>38</v>
      </c>
      <c r="B363" s="8" t="s">
        <v>92</v>
      </c>
      <c r="C363" s="8">
        <v>32.0</v>
      </c>
      <c r="D363" s="55">
        <v>0.89</v>
      </c>
      <c r="E363" s="21">
        <v>2.33</v>
      </c>
      <c r="F363" s="8">
        <v>0.007</v>
      </c>
      <c r="G363" s="21">
        <v>197.227021896</v>
      </c>
      <c r="H363" s="22">
        <f t="shared" si="1"/>
        <v>0.5446</v>
      </c>
      <c r="I363" s="22">
        <f t="shared" si="2"/>
        <v>1.836210062</v>
      </c>
      <c r="J363" s="22">
        <f t="shared" si="3"/>
        <v>0.3819742489</v>
      </c>
      <c r="K363" s="22">
        <f t="shared" si="4"/>
        <v>0.001936723707</v>
      </c>
      <c r="L363" s="22">
        <f t="shared" si="5"/>
        <v>0.6446523195</v>
      </c>
      <c r="M363" s="22">
        <f t="shared" si="85"/>
        <v>0.5714285714</v>
      </c>
      <c r="N363" s="22">
        <f t="shared" si="86"/>
        <v>0.4953064496</v>
      </c>
      <c r="O363" s="22">
        <f t="shared" si="87"/>
        <v>0.3453380431</v>
      </c>
      <c r="P363" s="22">
        <f t="shared" si="9"/>
        <v>0.9515586497</v>
      </c>
    </row>
    <row r="364">
      <c r="A364" s="8" t="s">
        <v>38</v>
      </c>
      <c r="B364" s="8" t="s">
        <v>92</v>
      </c>
      <c r="C364" s="8">
        <v>33.0</v>
      </c>
      <c r="D364" s="55">
        <v>0.89</v>
      </c>
      <c r="E364" s="21">
        <v>2.2</v>
      </c>
      <c r="F364" s="8">
        <v>0.006</v>
      </c>
      <c r="G364" s="21">
        <v>186.576011963999</v>
      </c>
      <c r="H364" s="22">
        <f t="shared" si="1"/>
        <v>0.4668</v>
      </c>
      <c r="I364" s="22">
        <f t="shared" si="2"/>
        <v>2.142245073</v>
      </c>
      <c r="J364" s="22">
        <f t="shared" si="3"/>
        <v>0.4045454545</v>
      </c>
      <c r="K364" s="22">
        <f t="shared" si="4"/>
        <v>0.002168260808</v>
      </c>
      <c r="L364" s="22">
        <f t="shared" si="5"/>
        <v>0.7950289631</v>
      </c>
      <c r="M364" s="22">
        <f t="shared" si="85"/>
        <v>0.4285714286</v>
      </c>
      <c r="N364" s="22">
        <f t="shared" si="86"/>
        <v>0.4404591292</v>
      </c>
      <c r="O364" s="22">
        <f t="shared" si="87"/>
        <v>0.394335953</v>
      </c>
      <c r="P364" s="22">
        <f t="shared" si="9"/>
        <v>1.00832139</v>
      </c>
    </row>
    <row r="365">
      <c r="A365" s="8" t="s">
        <v>38</v>
      </c>
      <c r="B365" s="8" t="s">
        <v>94</v>
      </c>
      <c r="C365" s="8">
        <v>1.0</v>
      </c>
      <c r="D365" s="55">
        <v>0.89</v>
      </c>
      <c r="E365" s="21">
        <v>0.51</v>
      </c>
      <c r="F365" s="8">
        <v>0.004</v>
      </c>
      <c r="G365" s="21">
        <v>109.686849535999</v>
      </c>
      <c r="H365" s="22">
        <f t="shared" si="1"/>
        <v>0.3112</v>
      </c>
      <c r="I365" s="22">
        <f t="shared" si="2"/>
        <v>3.213367609</v>
      </c>
      <c r="J365" s="22">
        <f t="shared" si="3"/>
        <v>1.745098039</v>
      </c>
      <c r="K365" s="22">
        <f t="shared" si="4"/>
        <v>0.01590982006</v>
      </c>
      <c r="L365" s="22">
        <f t="shared" si="5"/>
        <v>2.028502058</v>
      </c>
      <c r="M365" s="22">
        <f t="shared" si="85"/>
        <v>0.1428571429</v>
      </c>
      <c r="N365" s="22">
        <f t="shared" si="86"/>
        <v>0.04451878657</v>
      </c>
      <c r="O365" s="22">
        <f t="shared" si="87"/>
        <v>0.6797685579</v>
      </c>
      <c r="P365" s="22">
        <f t="shared" si="9"/>
        <v>0.9139539383</v>
      </c>
    </row>
    <row r="366">
      <c r="A366" s="8" t="s">
        <v>38</v>
      </c>
      <c r="B366" s="8" t="s">
        <v>94</v>
      </c>
      <c r="C366" s="8">
        <v>2.0</v>
      </c>
      <c r="D366" s="55">
        <v>0.89</v>
      </c>
      <c r="E366" s="21">
        <v>0.57</v>
      </c>
      <c r="F366" s="8">
        <v>0.004</v>
      </c>
      <c r="G366" s="21">
        <v>122.698284647</v>
      </c>
      <c r="H366" s="22">
        <f t="shared" si="1"/>
        <v>0.3112</v>
      </c>
      <c r="I366" s="22">
        <f t="shared" si="2"/>
        <v>3.213367609</v>
      </c>
      <c r="J366" s="22">
        <f t="shared" si="3"/>
        <v>1.561403509</v>
      </c>
      <c r="K366" s="22">
        <f t="shared" si="4"/>
        <v>0.01272555287</v>
      </c>
      <c r="L366" s="22">
        <f t="shared" si="5"/>
        <v>1.813391284</v>
      </c>
      <c r="M366" s="22">
        <f t="shared" si="85"/>
        <v>0.1428571429</v>
      </c>
      <c r="N366" s="22">
        <f t="shared" si="86"/>
        <v>0.1115211041</v>
      </c>
      <c r="O366" s="22">
        <f t="shared" si="87"/>
        <v>0.638792216</v>
      </c>
      <c r="P366" s="22">
        <f t="shared" si="9"/>
        <v>0.9725809661</v>
      </c>
    </row>
    <row r="367">
      <c r="A367" s="8" t="s">
        <v>38</v>
      </c>
      <c r="B367" s="8" t="s">
        <v>94</v>
      </c>
      <c r="C367" s="8">
        <v>3.0</v>
      </c>
      <c r="D367" s="55">
        <v>0.89</v>
      </c>
      <c r="E367" s="21">
        <v>0.57</v>
      </c>
      <c r="F367" s="8">
        <v>0.004</v>
      </c>
      <c r="G367" s="21">
        <v>121.854435903999</v>
      </c>
      <c r="H367" s="22">
        <f t="shared" si="1"/>
        <v>0.3112</v>
      </c>
      <c r="I367" s="22">
        <f t="shared" si="2"/>
        <v>3.213367609</v>
      </c>
      <c r="J367" s="22">
        <f t="shared" si="3"/>
        <v>1.561403509</v>
      </c>
      <c r="K367" s="22">
        <f t="shared" si="4"/>
        <v>0.01281367803</v>
      </c>
      <c r="L367" s="22">
        <f t="shared" si="5"/>
        <v>1.82594912</v>
      </c>
      <c r="M367" s="22">
        <f t="shared" si="85"/>
        <v>0.1428571429</v>
      </c>
      <c r="N367" s="22">
        <f t="shared" si="86"/>
        <v>0.1071757094</v>
      </c>
      <c r="O367" s="22">
        <f t="shared" si="87"/>
        <v>0.6412993197</v>
      </c>
      <c r="P367" s="22">
        <f t="shared" si="9"/>
        <v>0.9687787457</v>
      </c>
    </row>
    <row r="368">
      <c r="A368" s="8" t="s">
        <v>38</v>
      </c>
      <c r="B368" s="8" t="s">
        <v>94</v>
      </c>
      <c r="C368" s="8">
        <v>4.0</v>
      </c>
      <c r="D368" s="55">
        <v>0.89</v>
      </c>
      <c r="E368" s="21">
        <v>0.66</v>
      </c>
      <c r="F368" s="8">
        <v>0.005</v>
      </c>
      <c r="G368" s="21">
        <v>140.743571754999</v>
      </c>
      <c r="H368" s="22">
        <f t="shared" si="1"/>
        <v>0.389</v>
      </c>
      <c r="I368" s="22">
        <f t="shared" si="2"/>
        <v>2.570694087</v>
      </c>
      <c r="J368" s="22">
        <f t="shared" si="3"/>
        <v>1.348484848</v>
      </c>
      <c r="K368" s="22">
        <f t="shared" si="4"/>
        <v>0.009581146987</v>
      </c>
      <c r="L368" s="22">
        <f t="shared" si="5"/>
        <v>1.264711402</v>
      </c>
      <c r="M368" s="22">
        <f t="shared" si="85"/>
        <v>0.2857142857</v>
      </c>
      <c r="N368" s="22">
        <f t="shared" si="86"/>
        <v>0.2044452164</v>
      </c>
      <c r="O368" s="22">
        <f t="shared" si="87"/>
        <v>0.5240078038</v>
      </c>
      <c r="P368" s="22">
        <f t="shared" si="9"/>
        <v>0.9367907238</v>
      </c>
    </row>
    <row r="369">
      <c r="A369" s="8" t="s">
        <v>38</v>
      </c>
      <c r="B369" s="8" t="s">
        <v>94</v>
      </c>
      <c r="C369" s="8">
        <v>5.0</v>
      </c>
      <c r="D369" s="55">
        <v>0.89</v>
      </c>
      <c r="E369" s="21">
        <v>0.61</v>
      </c>
      <c r="F369" s="8">
        <v>0.004</v>
      </c>
      <c r="G369" s="21">
        <v>130.181934117</v>
      </c>
      <c r="H369" s="22">
        <f t="shared" si="1"/>
        <v>0.3112</v>
      </c>
      <c r="I369" s="22">
        <f t="shared" si="2"/>
        <v>3.213367609</v>
      </c>
      <c r="J369" s="22">
        <f t="shared" si="3"/>
        <v>1.459016393</v>
      </c>
      <c r="K369" s="22">
        <f t="shared" si="4"/>
        <v>0.01120751818</v>
      </c>
      <c r="L369" s="22">
        <f t="shared" si="5"/>
        <v>1.709146523</v>
      </c>
      <c r="M369" s="22">
        <f t="shared" si="85"/>
        <v>0.1428571429</v>
      </c>
      <c r="N369" s="22">
        <f t="shared" si="86"/>
        <v>0.1500581182</v>
      </c>
      <c r="O369" s="22">
        <f t="shared" si="87"/>
        <v>0.6173870851</v>
      </c>
      <c r="P369" s="22">
        <f t="shared" si="9"/>
        <v>1.006300853</v>
      </c>
    </row>
    <row r="370">
      <c r="A370" s="8" t="s">
        <v>38</v>
      </c>
      <c r="B370" s="8" t="s">
        <v>94</v>
      </c>
      <c r="C370" s="8">
        <v>6.0</v>
      </c>
      <c r="D370" s="55">
        <v>0.89</v>
      </c>
      <c r="E370" s="21">
        <v>0.58</v>
      </c>
      <c r="F370" s="8">
        <v>0.004</v>
      </c>
      <c r="G370" s="21">
        <v>124.987275335</v>
      </c>
      <c r="H370" s="22">
        <f t="shared" si="1"/>
        <v>0.3112</v>
      </c>
      <c r="I370" s="22">
        <f t="shared" si="2"/>
        <v>3.213367609</v>
      </c>
      <c r="J370" s="22">
        <f t="shared" si="3"/>
        <v>1.534482759</v>
      </c>
      <c r="K370" s="22">
        <f t="shared" si="4"/>
        <v>0.01227711185</v>
      </c>
      <c r="L370" s="22">
        <f t="shared" si="5"/>
        <v>1.780181218</v>
      </c>
      <c r="M370" s="22">
        <f t="shared" si="85"/>
        <v>0.1428571429</v>
      </c>
      <c r="N370" s="22">
        <f t="shared" si="86"/>
        <v>0.1233082498</v>
      </c>
      <c r="O370" s="22">
        <f t="shared" si="87"/>
        <v>0.6320892145</v>
      </c>
      <c r="P370" s="22">
        <f t="shared" si="9"/>
        <v>0.9828947186</v>
      </c>
    </row>
    <row r="371">
      <c r="A371" s="8" t="s">
        <v>38</v>
      </c>
      <c r="B371" s="8" t="s">
        <v>94</v>
      </c>
      <c r="C371" s="8">
        <v>7.0</v>
      </c>
      <c r="D371" s="55">
        <v>0.89</v>
      </c>
      <c r="E371" s="21">
        <v>0.69</v>
      </c>
      <c r="F371" s="8">
        <v>0.005</v>
      </c>
      <c r="G371" s="21">
        <v>147.494654687999</v>
      </c>
      <c r="H371" s="22">
        <f t="shared" si="1"/>
        <v>0.389</v>
      </c>
      <c r="I371" s="22">
        <f t="shared" si="2"/>
        <v>2.570694087</v>
      </c>
      <c r="J371" s="22">
        <f t="shared" si="3"/>
        <v>1.289855072</v>
      </c>
      <c r="K371" s="22">
        <f t="shared" si="4"/>
        <v>0.008745097069</v>
      </c>
      <c r="L371" s="22">
        <f t="shared" si="5"/>
        <v>1.206823396</v>
      </c>
      <c r="M371" s="22">
        <f t="shared" si="85"/>
        <v>0.2857142857</v>
      </c>
      <c r="N371" s="22">
        <f t="shared" si="86"/>
        <v>0.2392098829</v>
      </c>
      <c r="O371" s="22">
        <f t="shared" si="87"/>
        <v>0.5093073429</v>
      </c>
      <c r="P371" s="22">
        <f t="shared" si="9"/>
        <v>0.9638299089</v>
      </c>
    </row>
    <row r="372">
      <c r="A372" s="8" t="s">
        <v>38</v>
      </c>
      <c r="B372" s="8" t="s">
        <v>94</v>
      </c>
      <c r="C372" s="8">
        <v>8.0</v>
      </c>
      <c r="D372" s="55">
        <v>0.89</v>
      </c>
      <c r="E372" s="21">
        <v>0.63</v>
      </c>
      <c r="F372" s="8">
        <v>0.005</v>
      </c>
      <c r="G372" s="21">
        <v>133.947233790999</v>
      </c>
      <c r="H372" s="22">
        <f t="shared" si="1"/>
        <v>0.389</v>
      </c>
      <c r="I372" s="22">
        <f t="shared" si="2"/>
        <v>2.570694087</v>
      </c>
      <c r="J372" s="22">
        <f t="shared" si="3"/>
        <v>1.412698413</v>
      </c>
      <c r="K372" s="22">
        <f t="shared" si="4"/>
        <v>0.01054667851</v>
      </c>
      <c r="L372" s="22">
        <f t="shared" si="5"/>
        <v>1.328881493</v>
      </c>
      <c r="M372" s="22">
        <f t="shared" si="85"/>
        <v>0.2857142857</v>
      </c>
      <c r="N372" s="22">
        <f t="shared" si="86"/>
        <v>0.1694475093</v>
      </c>
      <c r="O372" s="22">
        <f t="shared" si="87"/>
        <v>0.5396896292</v>
      </c>
      <c r="P372" s="22">
        <f t="shared" si="9"/>
        <v>0.909570285</v>
      </c>
    </row>
    <row r="373">
      <c r="A373" s="8" t="s">
        <v>38</v>
      </c>
      <c r="B373" s="8" t="s">
        <v>94</v>
      </c>
      <c r="C373" s="8">
        <v>9.0</v>
      </c>
      <c r="D373" s="55">
        <v>0.89</v>
      </c>
      <c r="E373" s="21">
        <v>0.51</v>
      </c>
      <c r="F373" s="8">
        <v>0.004</v>
      </c>
      <c r="G373" s="21">
        <v>109.701694432</v>
      </c>
      <c r="H373" s="22">
        <f t="shared" si="1"/>
        <v>0.3112</v>
      </c>
      <c r="I373" s="22">
        <f t="shared" si="2"/>
        <v>3.213367609</v>
      </c>
      <c r="J373" s="22">
        <f t="shared" si="3"/>
        <v>1.745098039</v>
      </c>
      <c r="K373" s="22">
        <f t="shared" si="4"/>
        <v>0.01590766714</v>
      </c>
      <c r="L373" s="22">
        <f t="shared" si="5"/>
        <v>2.02822756</v>
      </c>
      <c r="M373" s="22">
        <f t="shared" si="85"/>
        <v>0.1428571429</v>
      </c>
      <c r="N373" s="22">
        <f t="shared" si="86"/>
        <v>0.04459523029</v>
      </c>
      <c r="O373" s="22">
        <f t="shared" si="87"/>
        <v>0.6797188123</v>
      </c>
      <c r="P373" s="22">
        <f t="shared" si="9"/>
        <v>0.9140208265</v>
      </c>
    </row>
    <row r="374">
      <c r="A374" s="8" t="s">
        <v>38</v>
      </c>
      <c r="B374" s="8" t="s">
        <v>94</v>
      </c>
      <c r="C374" s="8">
        <v>10.0</v>
      </c>
      <c r="D374" s="55">
        <v>0.89</v>
      </c>
      <c r="E374" s="21">
        <v>0.62</v>
      </c>
      <c r="F374" s="8">
        <v>0.004</v>
      </c>
      <c r="G374" s="21">
        <v>132.914044058999</v>
      </c>
      <c r="H374" s="22">
        <f t="shared" si="1"/>
        <v>0.3112</v>
      </c>
      <c r="I374" s="22">
        <f t="shared" si="2"/>
        <v>3.213367609</v>
      </c>
      <c r="J374" s="22">
        <f t="shared" si="3"/>
        <v>1.435483871</v>
      </c>
      <c r="K374" s="22">
        <f t="shared" si="4"/>
        <v>0.01080009175</v>
      </c>
      <c r="L374" s="22">
        <f t="shared" si="5"/>
        <v>1.674014222</v>
      </c>
      <c r="M374" s="22">
        <f t="shared" si="85"/>
        <v>0.1428571429</v>
      </c>
      <c r="N374" s="22">
        <f t="shared" si="86"/>
        <v>0.1641271042</v>
      </c>
      <c r="O374" s="22">
        <f t="shared" si="87"/>
        <v>0.6099256917</v>
      </c>
      <c r="P374" s="22">
        <f t="shared" si="9"/>
        <v>1.018611216</v>
      </c>
    </row>
    <row r="375">
      <c r="A375" s="8" t="s">
        <v>38</v>
      </c>
      <c r="B375" s="8" t="s">
        <v>94</v>
      </c>
      <c r="C375" s="8">
        <v>11.0</v>
      </c>
      <c r="D375" s="55">
        <v>0.89</v>
      </c>
      <c r="E375" s="21">
        <v>0.63</v>
      </c>
      <c r="F375" s="8">
        <v>0.005</v>
      </c>
      <c r="G375" s="21">
        <v>134.54090511</v>
      </c>
      <c r="H375" s="22">
        <f t="shared" si="1"/>
        <v>0.389</v>
      </c>
      <c r="I375" s="22">
        <f t="shared" si="2"/>
        <v>2.570694087</v>
      </c>
      <c r="J375" s="22">
        <f t="shared" si="3"/>
        <v>1.412698413</v>
      </c>
      <c r="K375" s="22">
        <f t="shared" si="4"/>
        <v>0.01050014054</v>
      </c>
      <c r="L375" s="22">
        <f t="shared" si="5"/>
        <v>1.323017709</v>
      </c>
      <c r="M375" s="22">
        <f t="shared" si="85"/>
        <v>0.2857142857</v>
      </c>
      <c r="N375" s="22">
        <f t="shared" si="86"/>
        <v>0.1725046167</v>
      </c>
      <c r="O375" s="22">
        <f t="shared" si="87"/>
        <v>0.5382824798</v>
      </c>
      <c r="P375" s="22">
        <f t="shared" si="9"/>
        <v>0.9119480352</v>
      </c>
    </row>
    <row r="376">
      <c r="A376" s="8" t="s">
        <v>38</v>
      </c>
      <c r="B376" s="8" t="s">
        <v>94</v>
      </c>
      <c r="C376" s="8">
        <v>12.0</v>
      </c>
      <c r="D376" s="55">
        <v>0.89</v>
      </c>
      <c r="E376" s="21">
        <v>0.62</v>
      </c>
      <c r="F376" s="8">
        <v>0.004</v>
      </c>
      <c r="G376" s="21">
        <v>132.546554162999</v>
      </c>
      <c r="H376" s="22">
        <f t="shared" si="1"/>
        <v>0.3112</v>
      </c>
      <c r="I376" s="22">
        <f t="shared" si="2"/>
        <v>3.213367609</v>
      </c>
      <c r="J376" s="22">
        <f t="shared" si="3"/>
        <v>1.435483871</v>
      </c>
      <c r="K376" s="22">
        <f t="shared" si="4"/>
        <v>0.01083003538</v>
      </c>
      <c r="L376" s="22">
        <f t="shared" si="5"/>
        <v>1.678655484</v>
      </c>
      <c r="M376" s="22">
        <f t="shared" si="85"/>
        <v>0.1428571429</v>
      </c>
      <c r="N376" s="22">
        <f t="shared" si="86"/>
        <v>0.1622347168</v>
      </c>
      <c r="O376" s="22">
        <f t="shared" si="87"/>
        <v>0.610918792</v>
      </c>
      <c r="P376" s="22">
        <f t="shared" si="9"/>
        <v>1.016955377</v>
      </c>
    </row>
    <row r="377">
      <c r="A377" s="8" t="s">
        <v>38</v>
      </c>
      <c r="B377" s="8" t="s">
        <v>94</v>
      </c>
      <c r="C377" s="8">
        <v>13.0</v>
      </c>
      <c r="D377" s="55">
        <v>0.89</v>
      </c>
      <c r="E377" s="21">
        <v>0.52</v>
      </c>
      <c r="F377" s="8">
        <v>0.004</v>
      </c>
      <c r="G377" s="21">
        <v>111.523198367</v>
      </c>
      <c r="H377" s="22">
        <f t="shared" si="1"/>
        <v>0.3112</v>
      </c>
      <c r="I377" s="22">
        <f t="shared" si="2"/>
        <v>3.213367609</v>
      </c>
      <c r="J377" s="22">
        <f t="shared" si="3"/>
        <v>1.711538462</v>
      </c>
      <c r="K377" s="22">
        <f t="shared" si="4"/>
        <v>0.01534692769</v>
      </c>
      <c r="L377" s="22">
        <f t="shared" si="5"/>
        <v>1.9951006</v>
      </c>
      <c r="M377" s="22">
        <f t="shared" si="85"/>
        <v>0.1428571429</v>
      </c>
      <c r="N377" s="22">
        <f t="shared" si="86"/>
        <v>0.05397505534</v>
      </c>
      <c r="O377" s="22">
        <f t="shared" si="87"/>
        <v>0.6736696715</v>
      </c>
      <c r="P377" s="22">
        <f t="shared" si="9"/>
        <v>0.9222281734</v>
      </c>
    </row>
    <row r="378">
      <c r="A378" s="8" t="s">
        <v>38</v>
      </c>
      <c r="B378" s="8" t="s">
        <v>94</v>
      </c>
      <c r="C378" s="8">
        <v>14.0</v>
      </c>
      <c r="D378" s="55">
        <v>0.89</v>
      </c>
      <c r="E378" s="21">
        <v>0.62</v>
      </c>
      <c r="F378" s="8">
        <v>0.004</v>
      </c>
      <c r="G378" s="21">
        <v>132.877467595999</v>
      </c>
      <c r="H378" s="22">
        <f t="shared" si="1"/>
        <v>0.3112</v>
      </c>
      <c r="I378" s="22">
        <f t="shared" si="2"/>
        <v>3.213367609</v>
      </c>
      <c r="J378" s="22">
        <f t="shared" si="3"/>
        <v>1.435483871</v>
      </c>
      <c r="K378" s="22">
        <f t="shared" si="4"/>
        <v>0.01080306463</v>
      </c>
      <c r="L378" s="22">
        <f t="shared" si="5"/>
        <v>1.674475018</v>
      </c>
      <c r="M378" s="22">
        <f t="shared" si="85"/>
        <v>0.1428571429</v>
      </c>
      <c r="N378" s="22">
        <f t="shared" si="86"/>
        <v>0.1639387539</v>
      </c>
      <c r="O378" s="22">
        <f t="shared" si="87"/>
        <v>0.6100243908</v>
      </c>
      <c r="P378" s="22">
        <f t="shared" si="9"/>
        <v>1.01844641</v>
      </c>
    </row>
    <row r="379">
      <c r="A379" s="8" t="s">
        <v>38</v>
      </c>
      <c r="B379" s="8" t="s">
        <v>94</v>
      </c>
      <c r="C379" s="8">
        <v>15.0</v>
      </c>
      <c r="D379" s="55">
        <v>0.89</v>
      </c>
      <c r="E379" s="21">
        <v>0.66</v>
      </c>
      <c r="F379" s="8">
        <v>0.005</v>
      </c>
      <c r="G379" s="21">
        <v>140.826668431</v>
      </c>
      <c r="H379" s="22">
        <f t="shared" si="1"/>
        <v>0.389</v>
      </c>
      <c r="I379" s="22">
        <f t="shared" si="2"/>
        <v>2.570694087</v>
      </c>
      <c r="J379" s="22">
        <f t="shared" si="3"/>
        <v>1.348484848</v>
      </c>
      <c r="K379" s="22">
        <f t="shared" si="4"/>
        <v>0.009575493502</v>
      </c>
      <c r="L379" s="22">
        <f t="shared" si="5"/>
        <v>1.263965142</v>
      </c>
      <c r="M379" s="22">
        <f t="shared" si="85"/>
        <v>0.2857142857</v>
      </c>
      <c r="N379" s="22">
        <f t="shared" si="86"/>
        <v>0.2048731223</v>
      </c>
      <c r="O379" s="22">
        <f t="shared" si="87"/>
        <v>0.5238217046</v>
      </c>
      <c r="P379" s="22">
        <f t="shared" si="9"/>
        <v>0.9371235395</v>
      </c>
    </row>
    <row r="380">
      <c r="A380" s="8" t="s">
        <v>38</v>
      </c>
      <c r="B380" s="8" t="s">
        <v>94</v>
      </c>
      <c r="C380" s="8">
        <v>16.0</v>
      </c>
      <c r="D380" s="55">
        <v>0.89</v>
      </c>
      <c r="E380" s="21">
        <v>0.56</v>
      </c>
      <c r="F380" s="8">
        <v>0.004</v>
      </c>
      <c r="G380" s="21">
        <v>119.997221151</v>
      </c>
      <c r="H380" s="22">
        <f t="shared" si="1"/>
        <v>0.3112</v>
      </c>
      <c r="I380" s="22">
        <f t="shared" si="2"/>
        <v>3.213367609</v>
      </c>
      <c r="J380" s="22">
        <f t="shared" si="3"/>
        <v>1.589285714</v>
      </c>
      <c r="K380" s="22">
        <f t="shared" si="4"/>
        <v>0.01324435432</v>
      </c>
      <c r="L380" s="22">
        <f t="shared" si="5"/>
        <v>1.854209605</v>
      </c>
      <c r="M380" s="22">
        <f t="shared" si="85"/>
        <v>0.1428571429</v>
      </c>
      <c r="N380" s="22">
        <f t="shared" si="86"/>
        <v>0.09761199167</v>
      </c>
      <c r="O380" s="22">
        <f t="shared" si="87"/>
        <v>0.6468870919</v>
      </c>
      <c r="P380" s="22">
        <f t="shared" si="9"/>
        <v>0.9604104927</v>
      </c>
    </row>
    <row r="381">
      <c r="A381" s="8" t="s">
        <v>38</v>
      </c>
      <c r="B381" s="8" t="s">
        <v>94</v>
      </c>
      <c r="C381" s="8">
        <v>17.0</v>
      </c>
      <c r="D381" s="55">
        <v>0.89</v>
      </c>
      <c r="E381" s="21">
        <v>0.63</v>
      </c>
      <c r="F381" s="8">
        <v>0.005</v>
      </c>
      <c r="G381" s="21">
        <v>134.478656212999</v>
      </c>
      <c r="H381" s="22">
        <f t="shared" si="1"/>
        <v>0.389</v>
      </c>
      <c r="I381" s="22">
        <f t="shared" si="2"/>
        <v>2.570694087</v>
      </c>
      <c r="J381" s="22">
        <f t="shared" si="3"/>
        <v>1.412698413</v>
      </c>
      <c r="K381" s="22">
        <f t="shared" si="4"/>
        <v>0.01050500096</v>
      </c>
      <c r="L381" s="22">
        <f t="shared" si="5"/>
        <v>1.323630121</v>
      </c>
      <c r="M381" s="22">
        <f t="shared" si="85"/>
        <v>0.2857142857</v>
      </c>
      <c r="N381" s="22">
        <f t="shared" si="86"/>
        <v>0.1721840663</v>
      </c>
      <c r="O381" s="22">
        <f t="shared" si="87"/>
        <v>0.5384296808</v>
      </c>
      <c r="P381" s="22">
        <f t="shared" si="9"/>
        <v>0.9116987183</v>
      </c>
    </row>
    <row r="382">
      <c r="A382" s="8" t="s">
        <v>38</v>
      </c>
      <c r="B382" s="8" t="s">
        <v>94</v>
      </c>
      <c r="C382" s="8">
        <v>18.0</v>
      </c>
      <c r="D382" s="55">
        <v>0.89</v>
      </c>
      <c r="E382" s="21">
        <v>0.64</v>
      </c>
      <c r="F382" s="8">
        <v>0.005</v>
      </c>
      <c r="G382" s="21">
        <v>137.033697204999</v>
      </c>
      <c r="H382" s="22">
        <f t="shared" si="1"/>
        <v>0.389</v>
      </c>
      <c r="I382" s="22">
        <f t="shared" si="2"/>
        <v>2.570694087</v>
      </c>
      <c r="J382" s="22">
        <f t="shared" si="3"/>
        <v>1.390625</v>
      </c>
      <c r="K382" s="22">
        <f t="shared" si="4"/>
        <v>0.01014805138</v>
      </c>
      <c r="L382" s="22">
        <f t="shared" si="5"/>
        <v>1.298950577</v>
      </c>
      <c r="M382" s="22">
        <f t="shared" si="85"/>
        <v>0.2857142857</v>
      </c>
      <c r="N382" s="22">
        <f t="shared" si="86"/>
        <v>0.1853412366</v>
      </c>
      <c r="O382" s="22">
        <f t="shared" si="87"/>
        <v>0.5324531647</v>
      </c>
      <c r="P382" s="22">
        <f t="shared" si="9"/>
        <v>0.9219320729</v>
      </c>
    </row>
    <row r="383">
      <c r="A383" s="8" t="s">
        <v>38</v>
      </c>
      <c r="B383" s="8" t="s">
        <v>94</v>
      </c>
      <c r="C383" s="8">
        <v>19.0</v>
      </c>
      <c r="D383" s="55">
        <v>0.89</v>
      </c>
      <c r="E383" s="21">
        <v>0.85</v>
      </c>
      <c r="F383" s="8">
        <v>0.006</v>
      </c>
      <c r="G383" s="21">
        <v>180.683604026</v>
      </c>
      <c r="H383" s="22">
        <f t="shared" si="1"/>
        <v>0.4668</v>
      </c>
      <c r="I383" s="22">
        <f t="shared" si="2"/>
        <v>2.142245073</v>
      </c>
      <c r="J383" s="22">
        <f t="shared" si="3"/>
        <v>1.047058824</v>
      </c>
      <c r="K383" s="22">
        <f t="shared" si="4"/>
        <v>0.005794985268</v>
      </c>
      <c r="L383" s="22">
        <f t="shared" si="5"/>
        <v>0.8209562463</v>
      </c>
      <c r="M383" s="22">
        <f t="shared" si="85"/>
        <v>0.4285714286</v>
      </c>
      <c r="N383" s="22">
        <f t="shared" si="86"/>
        <v>0.4101162052</v>
      </c>
      <c r="O383" s="22">
        <f t="shared" si="87"/>
        <v>0.4028212862</v>
      </c>
      <c r="P383" s="22">
        <f t="shared" si="9"/>
        <v>0.9870813436</v>
      </c>
    </row>
    <row r="384">
      <c r="A384" s="8" t="s">
        <v>38</v>
      </c>
      <c r="B384" s="8" t="s">
        <v>94</v>
      </c>
      <c r="C384" s="8">
        <v>20.0</v>
      </c>
      <c r="D384" s="55">
        <v>0.89</v>
      </c>
      <c r="E384" s="21">
        <v>0.92</v>
      </c>
      <c r="F384" s="8">
        <v>0.007</v>
      </c>
      <c r="G384" s="21">
        <v>196.122893064</v>
      </c>
      <c r="H384" s="22">
        <f t="shared" si="1"/>
        <v>0.5446</v>
      </c>
      <c r="I384" s="22">
        <f t="shared" si="2"/>
        <v>1.836210062</v>
      </c>
      <c r="J384" s="22">
        <f t="shared" si="3"/>
        <v>0.9673913043</v>
      </c>
      <c r="K384" s="22">
        <f t="shared" si="4"/>
        <v>0.004932577167</v>
      </c>
      <c r="L384" s="22">
        <f t="shared" si="5"/>
        <v>0.6482815706</v>
      </c>
      <c r="M384" s="22">
        <f t="shared" si="85"/>
        <v>0.5714285714</v>
      </c>
      <c r="N384" s="22">
        <f t="shared" si="86"/>
        <v>0.4896207439</v>
      </c>
      <c r="O384" s="22">
        <f t="shared" si="87"/>
        <v>0.3466561574</v>
      </c>
      <c r="P384" s="22">
        <f t="shared" si="9"/>
        <v>0.9479404734</v>
      </c>
    </row>
    <row r="385">
      <c r="A385" s="8" t="s">
        <v>38</v>
      </c>
      <c r="B385" s="8" t="s">
        <v>94</v>
      </c>
      <c r="C385" s="8">
        <v>21.0</v>
      </c>
      <c r="D385" s="55">
        <v>0.89</v>
      </c>
      <c r="E385" s="21">
        <v>0.6</v>
      </c>
      <c r="F385" s="8">
        <v>0.004</v>
      </c>
      <c r="G385" s="21">
        <v>127.437750772</v>
      </c>
      <c r="H385" s="22">
        <f t="shared" si="1"/>
        <v>0.3112</v>
      </c>
      <c r="I385" s="22">
        <f t="shared" si="2"/>
        <v>3.213367609</v>
      </c>
      <c r="J385" s="22">
        <f t="shared" si="3"/>
        <v>1.483333333</v>
      </c>
      <c r="K385" s="22">
        <f t="shared" si="4"/>
        <v>0.01163966976</v>
      </c>
      <c r="L385" s="22">
        <f t="shared" si="5"/>
        <v>1.745950463</v>
      </c>
      <c r="M385" s="22">
        <f t="shared" si="85"/>
        <v>0.1428571429</v>
      </c>
      <c r="N385" s="22">
        <f t="shared" si="86"/>
        <v>0.1359269603</v>
      </c>
      <c r="O385" s="22">
        <f t="shared" si="87"/>
        <v>0.6250675035</v>
      </c>
      <c r="P385" s="22">
        <f t="shared" si="9"/>
        <v>0.9939360903</v>
      </c>
    </row>
    <row r="386">
      <c r="A386" s="8" t="s">
        <v>38</v>
      </c>
      <c r="B386" s="8" t="s">
        <v>94</v>
      </c>
      <c r="C386" s="8">
        <v>22.0</v>
      </c>
      <c r="D386" s="55">
        <v>0.89</v>
      </c>
      <c r="E386" s="21">
        <v>0.5</v>
      </c>
      <c r="F386" s="8">
        <v>0.004</v>
      </c>
      <c r="G386" s="21">
        <v>106.160384023</v>
      </c>
      <c r="H386" s="22">
        <f t="shared" si="1"/>
        <v>0.3112</v>
      </c>
      <c r="I386" s="22">
        <f t="shared" si="2"/>
        <v>3.213367609</v>
      </c>
      <c r="J386" s="22">
        <f t="shared" si="3"/>
        <v>1.78</v>
      </c>
      <c r="K386" s="22">
        <f t="shared" si="4"/>
        <v>0.01676708328</v>
      </c>
      <c r="L386" s="22">
        <f t="shared" si="5"/>
        <v>2.09588541</v>
      </c>
      <c r="M386" s="22">
        <f t="shared" si="85"/>
        <v>0.1428571429</v>
      </c>
      <c r="N386" s="22">
        <f t="shared" si="86"/>
        <v>0.02635927073</v>
      </c>
      <c r="O386" s="22">
        <f t="shared" si="87"/>
        <v>0.6917957966</v>
      </c>
      <c r="P386" s="22">
        <f t="shared" si="9"/>
        <v>0.8980643619</v>
      </c>
    </row>
    <row r="387">
      <c r="A387" s="8" t="s">
        <v>38</v>
      </c>
      <c r="B387" s="8" t="s">
        <v>94</v>
      </c>
      <c r="C387" s="8">
        <v>23.0</v>
      </c>
      <c r="D387" s="55">
        <v>0.89</v>
      </c>
      <c r="E387" s="21">
        <v>0.65</v>
      </c>
      <c r="F387" s="8">
        <v>0.005</v>
      </c>
      <c r="G387" s="21">
        <v>139.268965348</v>
      </c>
      <c r="H387" s="22">
        <f t="shared" si="1"/>
        <v>0.389</v>
      </c>
      <c r="I387" s="22">
        <f t="shared" si="2"/>
        <v>2.570694087</v>
      </c>
      <c r="J387" s="22">
        <f t="shared" si="3"/>
        <v>1.369230769</v>
      </c>
      <c r="K387" s="22">
        <f t="shared" si="4"/>
        <v>0.009831556986</v>
      </c>
      <c r="L387" s="22">
        <f t="shared" si="5"/>
        <v>1.278102408</v>
      </c>
      <c r="M387" s="22">
        <f t="shared" si="85"/>
        <v>0.2857142857</v>
      </c>
      <c r="N387" s="22">
        <f t="shared" si="86"/>
        <v>0.1968517383</v>
      </c>
      <c r="O387" s="22">
        <f t="shared" si="87"/>
        <v>0.5273323942</v>
      </c>
      <c r="P387" s="22">
        <f t="shared" si="9"/>
        <v>0.9308846854</v>
      </c>
    </row>
    <row r="388">
      <c r="A388" s="8" t="s">
        <v>38</v>
      </c>
      <c r="B388" s="8" t="s">
        <v>94</v>
      </c>
      <c r="C388" s="8">
        <v>24.0</v>
      </c>
      <c r="D388" s="55">
        <v>0.89</v>
      </c>
      <c r="E388" s="21">
        <v>0.69</v>
      </c>
      <c r="F388" s="8">
        <v>0.005</v>
      </c>
      <c r="G388" s="21">
        <v>146.562191523999</v>
      </c>
      <c r="H388" s="22">
        <f t="shared" si="1"/>
        <v>0.389</v>
      </c>
      <c r="I388" s="22">
        <f t="shared" si="2"/>
        <v>2.570694087</v>
      </c>
      <c r="J388" s="22">
        <f t="shared" si="3"/>
        <v>1.289855072</v>
      </c>
      <c r="K388" s="22">
        <f t="shared" si="4"/>
        <v>0.008800735436</v>
      </c>
      <c r="L388" s="22">
        <f t="shared" si="5"/>
        <v>1.21450149</v>
      </c>
      <c r="M388" s="22">
        <f t="shared" si="85"/>
        <v>0.2857142857</v>
      </c>
      <c r="N388" s="22">
        <f t="shared" si="86"/>
        <v>0.2344081687</v>
      </c>
      <c r="O388" s="22">
        <f t="shared" si="87"/>
        <v>0.5112884933</v>
      </c>
      <c r="P388" s="22">
        <f t="shared" si="9"/>
        <v>0.9600952423</v>
      </c>
    </row>
    <row r="389">
      <c r="A389" s="8" t="s">
        <v>38</v>
      </c>
      <c r="B389" s="8" t="s">
        <v>94</v>
      </c>
      <c r="C389" s="8">
        <v>25.0</v>
      </c>
      <c r="D389" s="55">
        <v>0.89</v>
      </c>
      <c r="E389" s="21">
        <v>1.15</v>
      </c>
      <c r="F389" s="8">
        <v>0.008</v>
      </c>
      <c r="G389" s="21">
        <v>246.102965781</v>
      </c>
      <c r="H389" s="22">
        <f t="shared" si="1"/>
        <v>0.6224</v>
      </c>
      <c r="I389" s="22">
        <f t="shared" si="2"/>
        <v>1.606683805</v>
      </c>
      <c r="J389" s="22">
        <f t="shared" si="3"/>
        <v>0.7739130435</v>
      </c>
      <c r="K389" s="22">
        <f t="shared" si="4"/>
        <v>0.003144671748</v>
      </c>
      <c r="L389" s="22">
        <f t="shared" si="5"/>
        <v>0.4520465637</v>
      </c>
      <c r="M389" s="22">
        <f t="shared" si="85"/>
        <v>0.7142857143</v>
      </c>
      <c r="N389" s="22">
        <f t="shared" si="86"/>
        <v>0.7469928688</v>
      </c>
      <c r="O389" s="22">
        <f t="shared" si="87"/>
        <v>0.2709536072</v>
      </c>
      <c r="P389" s="22">
        <f t="shared" si="9"/>
        <v>1.019079173</v>
      </c>
    </row>
    <row r="390">
      <c r="A390" s="8" t="s">
        <v>38</v>
      </c>
      <c r="B390" s="8" t="s">
        <v>94</v>
      </c>
      <c r="C390" s="8">
        <v>26.0</v>
      </c>
      <c r="D390" s="55">
        <v>0.89</v>
      </c>
      <c r="E390" s="21">
        <v>0.77</v>
      </c>
      <c r="F390" s="8">
        <v>0.006</v>
      </c>
      <c r="G390" s="21">
        <v>163.672152453999</v>
      </c>
      <c r="H390" s="22">
        <f t="shared" si="1"/>
        <v>0.4668</v>
      </c>
      <c r="I390" s="22">
        <f t="shared" si="2"/>
        <v>2.142245073</v>
      </c>
      <c r="J390" s="22">
        <f t="shared" si="3"/>
        <v>1.155844156</v>
      </c>
      <c r="K390" s="22">
        <f t="shared" si="4"/>
        <v>0.007061947549</v>
      </c>
      <c r="L390" s="22">
        <f t="shared" si="5"/>
        <v>0.9062832688</v>
      </c>
      <c r="M390" s="22">
        <f t="shared" si="85"/>
        <v>0.4285714286</v>
      </c>
      <c r="N390" s="22">
        <f t="shared" si="86"/>
        <v>0.3225158236</v>
      </c>
      <c r="O390" s="22">
        <f t="shared" si="87"/>
        <v>0.4295032341</v>
      </c>
      <c r="P390" s="22">
        <f t="shared" si="9"/>
        <v>0.9257610765</v>
      </c>
    </row>
    <row r="391">
      <c r="A391" s="8" t="s">
        <v>38</v>
      </c>
      <c r="B391" s="8" t="s">
        <v>94</v>
      </c>
      <c r="C391" s="8">
        <v>27.0</v>
      </c>
      <c r="D391" s="55">
        <v>0.89</v>
      </c>
      <c r="E391" s="21">
        <v>0.7</v>
      </c>
      <c r="F391" s="8">
        <v>0.005</v>
      </c>
      <c r="G391" s="21">
        <v>149.109768385</v>
      </c>
      <c r="H391" s="22">
        <f t="shared" si="1"/>
        <v>0.389</v>
      </c>
      <c r="I391" s="22">
        <f t="shared" si="2"/>
        <v>2.570694087</v>
      </c>
      <c r="J391" s="22">
        <f t="shared" si="3"/>
        <v>1.271428571</v>
      </c>
      <c r="K391" s="22">
        <f t="shared" si="4"/>
        <v>0.008526795965</v>
      </c>
      <c r="L391" s="22">
        <f t="shared" si="5"/>
        <v>1.193751435</v>
      </c>
      <c r="M391" s="22">
        <f t="shared" si="85"/>
        <v>0.2857142857</v>
      </c>
      <c r="N391" s="22">
        <f t="shared" si="86"/>
        <v>0.2475269025</v>
      </c>
      <c r="O391" s="22">
        <f t="shared" si="87"/>
        <v>0.5059118897</v>
      </c>
      <c r="P391" s="22">
        <f t="shared" si="9"/>
        <v>0.9702987019</v>
      </c>
    </row>
    <row r="392">
      <c r="A392" s="8" t="s">
        <v>38</v>
      </c>
      <c r="B392" s="8" t="s">
        <v>94</v>
      </c>
      <c r="C392" s="8">
        <v>28.0</v>
      </c>
      <c r="D392" s="55">
        <v>0.89</v>
      </c>
      <c r="E392" s="21">
        <v>0.63</v>
      </c>
      <c r="F392" s="8">
        <v>0.005</v>
      </c>
      <c r="G392" s="21">
        <v>135.602257284</v>
      </c>
      <c r="H392" s="22">
        <f t="shared" si="1"/>
        <v>0.389</v>
      </c>
      <c r="I392" s="22">
        <f t="shared" si="2"/>
        <v>2.570694087</v>
      </c>
      <c r="J392" s="22">
        <f t="shared" si="3"/>
        <v>1.412698413</v>
      </c>
      <c r="K392" s="22">
        <f t="shared" si="4"/>
        <v>0.01041795646</v>
      </c>
      <c r="L392" s="22">
        <f t="shared" si="5"/>
        <v>1.312662514</v>
      </c>
      <c r="M392" s="22">
        <f t="shared" si="85"/>
        <v>0.2857142857</v>
      </c>
      <c r="N392" s="22">
        <f t="shared" si="86"/>
        <v>0.1779700442</v>
      </c>
      <c r="O392" s="22">
        <f t="shared" si="87"/>
        <v>0.5357850107</v>
      </c>
      <c r="P392" s="22">
        <f t="shared" si="9"/>
        <v>0.9161989233</v>
      </c>
    </row>
    <row r="393">
      <c r="A393" s="8" t="s">
        <v>38</v>
      </c>
      <c r="B393" s="8" t="s">
        <v>94</v>
      </c>
      <c r="C393" s="8">
        <v>29.0</v>
      </c>
      <c r="D393" s="55">
        <v>0.89</v>
      </c>
      <c r="E393" s="21">
        <v>0.67</v>
      </c>
      <c r="F393" s="8">
        <v>0.005</v>
      </c>
      <c r="G393" s="21">
        <v>143.971678397999</v>
      </c>
      <c r="H393" s="22">
        <f t="shared" si="1"/>
        <v>0.389</v>
      </c>
      <c r="I393" s="22">
        <f t="shared" si="2"/>
        <v>2.570694087</v>
      </c>
      <c r="J393" s="22">
        <f t="shared" si="3"/>
        <v>1.328358209</v>
      </c>
      <c r="K393" s="22">
        <f t="shared" si="4"/>
        <v>0.009226524437</v>
      </c>
      <c r="L393" s="22">
        <f t="shared" si="5"/>
        <v>1.236354275</v>
      </c>
      <c r="M393" s="22">
        <f t="shared" si="85"/>
        <v>0.2857142857</v>
      </c>
      <c r="N393" s="22">
        <f t="shared" si="86"/>
        <v>0.2210683348</v>
      </c>
      <c r="O393" s="22">
        <f t="shared" si="87"/>
        <v>0.5168741787</v>
      </c>
      <c r="P393" s="22">
        <f t="shared" si="9"/>
        <v>0.9497198159</v>
      </c>
    </row>
    <row r="394">
      <c r="A394" s="8" t="s">
        <v>38</v>
      </c>
      <c r="B394" s="8" t="s">
        <v>94</v>
      </c>
      <c r="C394" s="8">
        <v>30.0</v>
      </c>
      <c r="D394" s="55">
        <v>0.89</v>
      </c>
      <c r="E394" s="21">
        <v>0.7</v>
      </c>
      <c r="F394" s="8">
        <v>0.005</v>
      </c>
      <c r="G394" s="21">
        <v>149.625375040999</v>
      </c>
      <c r="H394" s="22">
        <f t="shared" si="1"/>
        <v>0.389</v>
      </c>
      <c r="I394" s="22">
        <f t="shared" si="2"/>
        <v>2.570694087</v>
      </c>
      <c r="J394" s="22">
        <f t="shared" si="3"/>
        <v>1.271428571</v>
      </c>
      <c r="K394" s="22">
        <f t="shared" si="4"/>
        <v>0.008497412762</v>
      </c>
      <c r="L394" s="22">
        <f t="shared" si="5"/>
        <v>1.189637787</v>
      </c>
      <c r="M394" s="22">
        <f t="shared" si="85"/>
        <v>0.2857142857</v>
      </c>
      <c r="N394" s="22">
        <f t="shared" si="86"/>
        <v>0.2501820163</v>
      </c>
      <c r="O394" s="22">
        <f t="shared" si="87"/>
        <v>0.5048374432</v>
      </c>
      <c r="P394" s="22">
        <f t="shared" si="9"/>
        <v>0.9723637904</v>
      </c>
    </row>
    <row r="395">
      <c r="A395" s="8" t="s">
        <v>38</v>
      </c>
      <c r="B395" s="8" t="s">
        <v>94</v>
      </c>
      <c r="C395" s="8">
        <v>31.0</v>
      </c>
      <c r="D395" s="55">
        <v>0.89</v>
      </c>
      <c r="E395" s="21">
        <v>0.61</v>
      </c>
      <c r="F395" s="8">
        <v>0.004</v>
      </c>
      <c r="G395" s="21">
        <v>130.450437267999</v>
      </c>
      <c r="H395" s="22">
        <f t="shared" si="1"/>
        <v>0.3112</v>
      </c>
      <c r="I395" s="22">
        <f t="shared" si="2"/>
        <v>3.213367609</v>
      </c>
      <c r="J395" s="22">
        <f t="shared" si="3"/>
        <v>1.459016393</v>
      </c>
      <c r="K395" s="22">
        <f t="shared" si="4"/>
        <v>0.01118445</v>
      </c>
      <c r="L395" s="22">
        <f t="shared" si="5"/>
        <v>1.705628625</v>
      </c>
      <c r="M395" s="22">
        <f t="shared" si="85"/>
        <v>0.1428571429</v>
      </c>
      <c r="N395" s="22">
        <f t="shared" si="86"/>
        <v>0.1514407738</v>
      </c>
      <c r="O395" s="22">
        <f t="shared" si="87"/>
        <v>0.6166457237</v>
      </c>
      <c r="P395" s="22">
        <f t="shared" si="9"/>
        <v>1.007510677</v>
      </c>
    </row>
    <row r="396">
      <c r="A396" s="8" t="s">
        <v>38</v>
      </c>
      <c r="B396" s="8" t="s">
        <v>94</v>
      </c>
      <c r="C396" s="8">
        <v>32.0</v>
      </c>
      <c r="D396" s="55">
        <v>0.89</v>
      </c>
      <c r="E396" s="21">
        <v>0.7</v>
      </c>
      <c r="F396" s="8">
        <v>0.005</v>
      </c>
      <c r="G396" s="21">
        <v>148.496706599</v>
      </c>
      <c r="H396" s="22">
        <f t="shared" si="1"/>
        <v>0.389</v>
      </c>
      <c r="I396" s="22">
        <f t="shared" si="2"/>
        <v>2.570694087</v>
      </c>
      <c r="J396" s="22">
        <f t="shared" si="3"/>
        <v>1.271428571</v>
      </c>
      <c r="K396" s="22">
        <f t="shared" si="4"/>
        <v>0.008561998448</v>
      </c>
      <c r="L396" s="22">
        <f t="shared" si="5"/>
        <v>1.198679783</v>
      </c>
      <c r="M396" s="22">
        <f t="shared" si="85"/>
        <v>0.2857142857</v>
      </c>
      <c r="N396" s="22">
        <f t="shared" si="86"/>
        <v>0.244369944</v>
      </c>
      <c r="O396" s="22">
        <f t="shared" si="87"/>
        <v>0.5071953849</v>
      </c>
      <c r="P396" s="22">
        <f t="shared" si="9"/>
        <v>0.9678432898</v>
      </c>
    </row>
    <row r="397">
      <c r="A397" s="8" t="s">
        <v>38</v>
      </c>
      <c r="B397" s="8" t="s">
        <v>94</v>
      </c>
      <c r="C397" s="8">
        <v>33.0</v>
      </c>
      <c r="D397" s="55">
        <v>0.89</v>
      </c>
      <c r="E397" s="21">
        <v>0.47</v>
      </c>
      <c r="F397" s="8">
        <v>0.003</v>
      </c>
      <c r="G397" s="21">
        <v>101.041576894999</v>
      </c>
      <c r="H397" s="22">
        <f t="shared" si="1"/>
        <v>0.2334</v>
      </c>
      <c r="I397" s="22">
        <f t="shared" si="2"/>
        <v>4.284490146</v>
      </c>
      <c r="J397" s="22">
        <f t="shared" si="3"/>
        <v>1.893617021</v>
      </c>
      <c r="K397" s="22">
        <f t="shared" si="4"/>
        <v>0.01874096861</v>
      </c>
      <c r="L397" s="22">
        <f t="shared" si="5"/>
        <v>2.936085083</v>
      </c>
      <c r="M397" s="22">
        <f t="shared" si="85"/>
        <v>0</v>
      </c>
      <c r="N397" s="22">
        <f t="shared" si="86"/>
        <v>0</v>
      </c>
      <c r="O397" s="22">
        <f t="shared" si="87"/>
        <v>0.8114640335</v>
      </c>
      <c r="P397" s="22">
        <f t="shared" si="9"/>
        <v>1</v>
      </c>
    </row>
    <row r="398">
      <c r="A398" s="18" t="s">
        <v>39</v>
      </c>
      <c r="B398" s="8" t="s">
        <v>30</v>
      </c>
      <c r="C398" s="8">
        <v>1.0</v>
      </c>
      <c r="D398" s="55">
        <v>0.93</v>
      </c>
      <c r="E398" s="20">
        <v>0.78</v>
      </c>
      <c r="F398" s="8">
        <v>0.006</v>
      </c>
      <c r="G398" s="21">
        <v>224.123356807</v>
      </c>
      <c r="H398" s="22">
        <f t="shared" si="1"/>
        <v>0.4668</v>
      </c>
      <c r="I398" s="22">
        <f t="shared" si="2"/>
        <v>2.142245073</v>
      </c>
      <c r="J398" s="22">
        <f t="shared" si="3"/>
        <v>1.192307692</v>
      </c>
      <c r="K398" s="22">
        <f t="shared" si="4"/>
        <v>0.005319872544</v>
      </c>
      <c r="L398" s="22">
        <f t="shared" si="5"/>
        <v>0.6915834307</v>
      </c>
      <c r="M398" s="22">
        <f t="shared" ref="M398:M529" si="88">(H398-MIN($H$398:$H$529))/(MAX($H$398:$H$529)-MIN($H$398:$H$529))</f>
        <v>0.3333333333</v>
      </c>
      <c r="N398" s="22">
        <f t="shared" ref="N398:N529" si="89">(G398-MIN($G$398:$G$529))/(MAX($G$398:$G$529)-MIN($G$398:$G$529))</f>
        <v>0.2701406775</v>
      </c>
      <c r="O398" s="22">
        <f t="shared" ref="O398:O529" si="90">0.93*(1/(1+M398))*(1/(1+N398))*(1-0.04271904169)</f>
        <v>0.5256925317</v>
      </c>
      <c r="P398" s="22">
        <f t="shared" si="9"/>
        <v>0.9526055081</v>
      </c>
    </row>
    <row r="399">
      <c r="A399" s="18" t="s">
        <v>39</v>
      </c>
      <c r="B399" s="8" t="s">
        <v>30</v>
      </c>
      <c r="C399" s="8">
        <v>2.0</v>
      </c>
      <c r="D399" s="55">
        <v>0.93</v>
      </c>
      <c r="E399" s="27">
        <v>0.92</v>
      </c>
      <c r="F399" s="8">
        <v>0.007</v>
      </c>
      <c r="G399" s="21">
        <v>262.736245529</v>
      </c>
      <c r="H399" s="22">
        <f t="shared" si="1"/>
        <v>0.5446</v>
      </c>
      <c r="I399" s="22">
        <f t="shared" si="2"/>
        <v>1.836210062</v>
      </c>
      <c r="J399" s="22">
        <f t="shared" si="3"/>
        <v>1.010869565</v>
      </c>
      <c r="K399" s="22">
        <f t="shared" si="4"/>
        <v>0.00384746902</v>
      </c>
      <c r="L399" s="22">
        <f t="shared" si="5"/>
        <v>0.505667357</v>
      </c>
      <c r="M399" s="22">
        <f t="shared" si="88"/>
        <v>0.4444444444</v>
      </c>
      <c r="N399" s="22">
        <f t="shared" si="89"/>
        <v>0.383441266</v>
      </c>
      <c r="O399" s="22">
        <f t="shared" si="90"/>
        <v>0.4455134297</v>
      </c>
      <c r="P399" s="22">
        <f t="shared" si="9"/>
        <v>0.9577670303</v>
      </c>
    </row>
    <row r="400">
      <c r="A400" s="18" t="s">
        <v>39</v>
      </c>
      <c r="B400" s="8" t="s">
        <v>30</v>
      </c>
      <c r="C400" s="8">
        <v>3.0</v>
      </c>
      <c r="D400" s="55">
        <v>0.93</v>
      </c>
      <c r="E400" s="20">
        <v>0.73</v>
      </c>
      <c r="F400" s="8">
        <v>0.005</v>
      </c>
      <c r="G400" s="21">
        <v>207.433538934999</v>
      </c>
      <c r="H400" s="22">
        <f t="shared" si="1"/>
        <v>0.389</v>
      </c>
      <c r="I400" s="22">
        <f t="shared" si="2"/>
        <v>2.570694087</v>
      </c>
      <c r="J400" s="22">
        <f t="shared" si="3"/>
        <v>1.273972603</v>
      </c>
      <c r="K400" s="22">
        <f t="shared" si="4"/>
        <v>0.006141594119</v>
      </c>
      <c r="L400" s="22">
        <f t="shared" si="5"/>
        <v>0.8966727413</v>
      </c>
      <c r="M400" s="22">
        <f t="shared" si="88"/>
        <v>0.2222222222</v>
      </c>
      <c r="N400" s="22">
        <f t="shared" si="89"/>
        <v>0.2211682683</v>
      </c>
      <c r="O400" s="22">
        <f t="shared" si="90"/>
        <v>0.5964810933</v>
      </c>
      <c r="P400" s="22">
        <f t="shared" si="9"/>
        <v>0.9991376741</v>
      </c>
    </row>
    <row r="401">
      <c r="A401" s="18" t="s">
        <v>39</v>
      </c>
      <c r="B401" s="8" t="s">
        <v>30</v>
      </c>
      <c r="C401" s="8">
        <v>4.0</v>
      </c>
      <c r="D401" s="55">
        <v>0.93</v>
      </c>
      <c r="E401" s="27">
        <v>0.85</v>
      </c>
      <c r="F401" s="8">
        <v>0.006</v>
      </c>
      <c r="G401" s="21">
        <v>242.817707420999</v>
      </c>
      <c r="H401" s="22">
        <f t="shared" si="1"/>
        <v>0.4668</v>
      </c>
      <c r="I401" s="22">
        <f t="shared" si="2"/>
        <v>2.142245073</v>
      </c>
      <c r="J401" s="22">
        <f t="shared" si="3"/>
        <v>1.094117647</v>
      </c>
      <c r="K401" s="22">
        <f t="shared" si="4"/>
        <v>0.004505921988</v>
      </c>
      <c r="L401" s="22">
        <f t="shared" si="5"/>
        <v>0.6383389484</v>
      </c>
      <c r="M401" s="22">
        <f t="shared" si="88"/>
        <v>0.3333333333</v>
      </c>
      <c r="N401" s="22">
        <f t="shared" si="89"/>
        <v>0.3249949242</v>
      </c>
      <c r="O401" s="22">
        <f t="shared" si="90"/>
        <v>0.5039290764</v>
      </c>
      <c r="P401" s="22">
        <f t="shared" si="9"/>
        <v>0.9937461932</v>
      </c>
    </row>
    <row r="402">
      <c r="A402" s="18" t="s">
        <v>39</v>
      </c>
      <c r="B402" s="8" t="s">
        <v>30</v>
      </c>
      <c r="C402" s="8">
        <v>5.0</v>
      </c>
      <c r="D402" s="55">
        <v>0.93</v>
      </c>
      <c r="E402" s="20">
        <v>0.91</v>
      </c>
      <c r="F402" s="8">
        <v>0.007</v>
      </c>
      <c r="G402" s="21">
        <v>258.831181266</v>
      </c>
      <c r="H402" s="22">
        <f t="shared" si="1"/>
        <v>0.5446</v>
      </c>
      <c r="I402" s="22">
        <f t="shared" si="2"/>
        <v>1.836210062</v>
      </c>
      <c r="J402" s="22">
        <f t="shared" si="3"/>
        <v>1.021978022</v>
      </c>
      <c r="K402" s="22">
        <f t="shared" si="4"/>
        <v>0.003948434717</v>
      </c>
      <c r="L402" s="22">
        <f t="shared" si="5"/>
        <v>0.5132965132</v>
      </c>
      <c r="M402" s="22">
        <f t="shared" si="88"/>
        <v>0.4444444444</v>
      </c>
      <c r="N402" s="22">
        <f t="shared" si="89"/>
        <v>0.3719827583</v>
      </c>
      <c r="O402" s="22">
        <f t="shared" si="90"/>
        <v>0.4492342629</v>
      </c>
      <c r="P402" s="22">
        <f t="shared" si="9"/>
        <v>0.9498342173</v>
      </c>
    </row>
    <row r="403">
      <c r="A403" s="18" t="s">
        <v>39</v>
      </c>
      <c r="B403" s="8" t="s">
        <v>30</v>
      </c>
      <c r="C403" s="8">
        <v>6.0</v>
      </c>
      <c r="D403" s="55">
        <v>0.93</v>
      </c>
      <c r="E403" s="27">
        <v>0.88</v>
      </c>
      <c r="F403" s="8">
        <v>0.006</v>
      </c>
      <c r="G403" s="21">
        <v>250.440730938999</v>
      </c>
      <c r="H403" s="22">
        <f t="shared" si="1"/>
        <v>0.4668</v>
      </c>
      <c r="I403" s="22">
        <f t="shared" si="2"/>
        <v>2.142245073</v>
      </c>
      <c r="J403" s="22">
        <f t="shared" si="3"/>
        <v>1.056818182</v>
      </c>
      <c r="K403" s="22">
        <f t="shared" si="4"/>
        <v>0.004219833483</v>
      </c>
      <c r="L403" s="22">
        <f t="shared" si="5"/>
        <v>0.6189089108</v>
      </c>
      <c r="M403" s="22">
        <f t="shared" si="88"/>
        <v>0.3333333333</v>
      </c>
      <c r="N403" s="22">
        <f t="shared" si="89"/>
        <v>0.3473629231</v>
      </c>
      <c r="O403" s="22">
        <f t="shared" si="90"/>
        <v>0.4955631901</v>
      </c>
      <c r="P403" s="22">
        <f t="shared" si="9"/>
        <v>1.010522192</v>
      </c>
    </row>
    <row r="404">
      <c r="A404" s="18" t="s">
        <v>39</v>
      </c>
      <c r="B404" s="8" t="s">
        <v>30</v>
      </c>
      <c r="C404" s="8">
        <v>7.0</v>
      </c>
      <c r="D404" s="55">
        <v>0.93</v>
      </c>
      <c r="E404" s="20">
        <v>0.03</v>
      </c>
      <c r="F404" s="8">
        <v>0.008</v>
      </c>
      <c r="G404" s="21">
        <v>308.733443594</v>
      </c>
      <c r="H404" s="22">
        <f t="shared" si="1"/>
        <v>0.6224</v>
      </c>
      <c r="I404" s="22">
        <f t="shared" si="2"/>
        <v>1.606683805</v>
      </c>
      <c r="J404" s="22">
        <f t="shared" si="3"/>
        <v>31</v>
      </c>
      <c r="K404" s="22">
        <f t="shared" si="4"/>
        <v>0.1004102427</v>
      </c>
      <c r="L404" s="22">
        <f t="shared" si="5"/>
        <v>0.3765384101</v>
      </c>
      <c r="M404" s="22">
        <f t="shared" si="88"/>
        <v>0.5555555556</v>
      </c>
      <c r="N404" s="22">
        <f t="shared" si="89"/>
        <v>0.5184094017</v>
      </c>
      <c r="O404" s="22">
        <f t="shared" si="90"/>
        <v>0.3769189377</v>
      </c>
      <c r="P404" s="22">
        <f t="shared" si="9"/>
        <v>0.9761203297</v>
      </c>
    </row>
    <row r="405">
      <c r="A405" s="18" t="s">
        <v>39</v>
      </c>
      <c r="B405" s="8" t="s">
        <v>30</v>
      </c>
      <c r="C405" s="8">
        <v>8.0</v>
      </c>
      <c r="D405" s="55">
        <v>0.93</v>
      </c>
      <c r="E405" s="27">
        <v>0.71</v>
      </c>
      <c r="F405" s="8">
        <v>0.005</v>
      </c>
      <c r="G405" s="21">
        <v>202.026024434</v>
      </c>
      <c r="H405" s="22">
        <f t="shared" si="1"/>
        <v>0.389</v>
      </c>
      <c r="I405" s="22">
        <f t="shared" si="2"/>
        <v>2.570694087</v>
      </c>
      <c r="J405" s="22">
        <f t="shared" si="3"/>
        <v>1.309859155</v>
      </c>
      <c r="K405" s="22">
        <f t="shared" si="4"/>
        <v>0.006483615953</v>
      </c>
      <c r="L405" s="22">
        <f t="shared" si="5"/>
        <v>0.9206734653</v>
      </c>
      <c r="M405" s="22">
        <f t="shared" si="88"/>
        <v>0.2222222222</v>
      </c>
      <c r="N405" s="22">
        <f t="shared" si="89"/>
        <v>0.2053011681</v>
      </c>
      <c r="O405" s="22">
        <f t="shared" si="90"/>
        <v>0.6043334255</v>
      </c>
      <c r="P405" s="22">
        <f t="shared" si="9"/>
        <v>0.9861555012</v>
      </c>
    </row>
    <row r="406">
      <c r="A406" s="18" t="s">
        <v>39</v>
      </c>
      <c r="B406" s="8" t="s">
        <v>30</v>
      </c>
      <c r="C406" s="8">
        <v>9.0</v>
      </c>
      <c r="D406" s="55">
        <v>0.93</v>
      </c>
      <c r="E406" s="20">
        <v>0.74</v>
      </c>
      <c r="F406" s="8">
        <v>0.005</v>
      </c>
      <c r="G406" s="21">
        <v>212.02377487</v>
      </c>
      <c r="H406" s="22">
        <f t="shared" si="1"/>
        <v>0.389</v>
      </c>
      <c r="I406" s="22">
        <f t="shared" si="2"/>
        <v>2.570694087</v>
      </c>
      <c r="J406" s="22">
        <f t="shared" si="3"/>
        <v>1.256756757</v>
      </c>
      <c r="K406" s="22">
        <f t="shared" si="4"/>
        <v>0.005927433174</v>
      </c>
      <c r="L406" s="22">
        <f t="shared" si="5"/>
        <v>0.8772601097</v>
      </c>
      <c r="M406" s="22">
        <f t="shared" si="88"/>
        <v>0.2222222222</v>
      </c>
      <c r="N406" s="22">
        <f t="shared" si="89"/>
        <v>0.2346372537</v>
      </c>
      <c r="O406" s="22">
        <f t="shared" si="90"/>
        <v>0.5899739228</v>
      </c>
      <c r="P406" s="22">
        <f t="shared" si="9"/>
        <v>1.010157753</v>
      </c>
    </row>
    <row r="407">
      <c r="A407" s="18" t="s">
        <v>39</v>
      </c>
      <c r="B407" s="8" t="s">
        <v>30</v>
      </c>
      <c r="C407" s="8">
        <v>10.0</v>
      </c>
      <c r="D407" s="55">
        <v>0.93</v>
      </c>
      <c r="E407" s="27">
        <v>0.9</v>
      </c>
      <c r="F407" s="8">
        <v>0.006</v>
      </c>
      <c r="G407" s="21">
        <v>257.487189213</v>
      </c>
      <c r="H407" s="22">
        <f t="shared" si="1"/>
        <v>0.4668</v>
      </c>
      <c r="I407" s="22">
        <f t="shared" si="2"/>
        <v>2.142245073</v>
      </c>
      <c r="J407" s="22">
        <f t="shared" si="3"/>
        <v>1.033333333</v>
      </c>
      <c r="K407" s="22">
        <f t="shared" si="4"/>
        <v>0.00401314464</v>
      </c>
      <c r="L407" s="22">
        <f t="shared" si="5"/>
        <v>0.601971696</v>
      </c>
      <c r="M407" s="22">
        <f t="shared" si="88"/>
        <v>0.3333333333</v>
      </c>
      <c r="N407" s="22">
        <f t="shared" si="89"/>
        <v>0.3680391246</v>
      </c>
      <c r="O407" s="22">
        <f t="shared" si="90"/>
        <v>0.4880733719</v>
      </c>
      <c r="P407" s="22">
        <f t="shared" si="9"/>
        <v>1.026029343</v>
      </c>
    </row>
    <row r="408">
      <c r="A408" s="18" t="s">
        <v>39</v>
      </c>
      <c r="B408" s="8" t="s">
        <v>30</v>
      </c>
      <c r="C408" s="8">
        <v>11.0</v>
      </c>
      <c r="D408" s="55">
        <v>0.93</v>
      </c>
      <c r="E408" s="20">
        <v>0.71</v>
      </c>
      <c r="F408" s="8">
        <v>0.005</v>
      </c>
      <c r="G408" s="21">
        <v>202.417231198999</v>
      </c>
      <c r="H408" s="22">
        <f t="shared" si="1"/>
        <v>0.389</v>
      </c>
      <c r="I408" s="22">
        <f t="shared" si="2"/>
        <v>2.570694087</v>
      </c>
      <c r="J408" s="22">
        <f t="shared" si="3"/>
        <v>1.309859155</v>
      </c>
      <c r="K408" s="22">
        <f t="shared" si="4"/>
        <v>0.006471085229</v>
      </c>
      <c r="L408" s="22">
        <f t="shared" si="5"/>
        <v>0.9188941025</v>
      </c>
      <c r="M408" s="22">
        <f t="shared" si="88"/>
        <v>0.2222222222</v>
      </c>
      <c r="N408" s="22">
        <f t="shared" si="89"/>
        <v>0.2064490738</v>
      </c>
      <c r="O408" s="22">
        <f t="shared" si="90"/>
        <v>0.6037584176</v>
      </c>
      <c r="P408" s="22">
        <f t="shared" si="9"/>
        <v>0.9870946968</v>
      </c>
    </row>
    <row r="409">
      <c r="A409" s="18" t="s">
        <v>39</v>
      </c>
      <c r="B409" s="8" t="s">
        <v>30</v>
      </c>
      <c r="C409" s="8">
        <v>12.0</v>
      </c>
      <c r="D409" s="55">
        <v>0.93</v>
      </c>
      <c r="E409" s="27">
        <v>0.61</v>
      </c>
      <c r="F409" s="8">
        <v>0.004</v>
      </c>
      <c r="G409" s="21">
        <v>174.205647237</v>
      </c>
      <c r="H409" s="22">
        <f t="shared" si="1"/>
        <v>0.3112</v>
      </c>
      <c r="I409" s="22">
        <f t="shared" si="2"/>
        <v>3.213367609</v>
      </c>
      <c r="J409" s="22">
        <f t="shared" si="3"/>
        <v>1.524590164</v>
      </c>
      <c r="K409" s="22">
        <f t="shared" si="4"/>
        <v>0.008751669008</v>
      </c>
      <c r="L409" s="22">
        <f t="shared" si="5"/>
        <v>1.334629524</v>
      </c>
      <c r="M409" s="22">
        <f t="shared" si="88"/>
        <v>0.1111111111</v>
      </c>
      <c r="N409" s="22">
        <f t="shared" si="89"/>
        <v>0.1236687078</v>
      </c>
      <c r="O409" s="22">
        <f t="shared" si="90"/>
        <v>0.7130608484</v>
      </c>
      <c r="P409" s="22">
        <f t="shared" si="9"/>
        <v>1.011301837</v>
      </c>
    </row>
    <row r="410">
      <c r="A410" s="18" t="s">
        <v>39</v>
      </c>
      <c r="B410" s="8" t="s">
        <v>30</v>
      </c>
      <c r="C410" s="8">
        <v>13.0</v>
      </c>
      <c r="D410" s="55">
        <v>0.93</v>
      </c>
      <c r="E410" s="20">
        <v>0.78</v>
      </c>
      <c r="F410" s="8">
        <v>0.006</v>
      </c>
      <c r="G410" s="21">
        <v>223.811446888999</v>
      </c>
      <c r="H410" s="22">
        <f t="shared" si="1"/>
        <v>0.4668</v>
      </c>
      <c r="I410" s="22">
        <f t="shared" si="2"/>
        <v>2.142245073</v>
      </c>
      <c r="J410" s="22">
        <f t="shared" si="3"/>
        <v>1.192307692</v>
      </c>
      <c r="K410" s="22">
        <f t="shared" si="4"/>
        <v>0.005327286468</v>
      </c>
      <c r="L410" s="22">
        <f t="shared" si="5"/>
        <v>0.6925472408</v>
      </c>
      <c r="M410" s="22">
        <f t="shared" si="88"/>
        <v>0.3333333333</v>
      </c>
      <c r="N410" s="22">
        <f t="shared" si="89"/>
        <v>0.26922545</v>
      </c>
      <c r="O410" s="22">
        <f t="shared" si="90"/>
        <v>0.5260716041</v>
      </c>
      <c r="P410" s="22">
        <f t="shared" si="9"/>
        <v>0.9519190875</v>
      </c>
    </row>
    <row r="411">
      <c r="A411" s="18" t="s">
        <v>39</v>
      </c>
      <c r="B411" s="8" t="s">
        <v>30</v>
      </c>
      <c r="C411" s="8">
        <v>14.0</v>
      </c>
      <c r="D411" s="55">
        <v>0.93</v>
      </c>
      <c r="E411" s="27">
        <v>0.84</v>
      </c>
      <c r="F411" s="8">
        <v>0.006</v>
      </c>
      <c r="G411" s="21">
        <v>239.028720952</v>
      </c>
      <c r="H411" s="22">
        <f t="shared" si="1"/>
        <v>0.4668</v>
      </c>
      <c r="I411" s="22">
        <f t="shared" si="2"/>
        <v>2.142245073</v>
      </c>
      <c r="J411" s="22">
        <f t="shared" si="3"/>
        <v>1.107142857</v>
      </c>
      <c r="K411" s="22">
        <f t="shared" si="4"/>
        <v>0.004631840277</v>
      </c>
      <c r="L411" s="22">
        <f t="shared" si="5"/>
        <v>0.6484576388</v>
      </c>
      <c r="M411" s="22">
        <f t="shared" si="88"/>
        <v>0.3333333333</v>
      </c>
      <c r="N411" s="22">
        <f t="shared" si="89"/>
        <v>0.3138770201</v>
      </c>
      <c r="O411" s="22">
        <f t="shared" si="90"/>
        <v>0.508193277</v>
      </c>
      <c r="P411" s="22">
        <f t="shared" si="9"/>
        <v>0.9854077651</v>
      </c>
    </row>
    <row r="412">
      <c r="A412" s="18" t="s">
        <v>39</v>
      </c>
      <c r="B412" s="8" t="s">
        <v>30</v>
      </c>
      <c r="C412" s="8">
        <v>15.0</v>
      </c>
      <c r="D412" s="55">
        <v>0.93</v>
      </c>
      <c r="E412" s="20">
        <v>0.77</v>
      </c>
      <c r="F412" s="8">
        <v>0.006</v>
      </c>
      <c r="G412" s="21">
        <v>220.029250951999</v>
      </c>
      <c r="H412" s="22">
        <f t="shared" si="1"/>
        <v>0.4668</v>
      </c>
      <c r="I412" s="22">
        <f t="shared" si="2"/>
        <v>2.142245073</v>
      </c>
      <c r="J412" s="22">
        <f t="shared" si="3"/>
        <v>1.207792208</v>
      </c>
      <c r="K412" s="22">
        <f t="shared" si="4"/>
        <v>0.005489234738</v>
      </c>
      <c r="L412" s="22">
        <f t="shared" si="5"/>
        <v>0.7044517914</v>
      </c>
      <c r="M412" s="22">
        <f t="shared" si="88"/>
        <v>0.3333333333</v>
      </c>
      <c r="N412" s="22">
        <f t="shared" si="89"/>
        <v>0.2581274711</v>
      </c>
      <c r="O412" s="22">
        <f t="shared" si="90"/>
        <v>0.530712097</v>
      </c>
      <c r="P412" s="22">
        <f t="shared" si="9"/>
        <v>0.9435956033</v>
      </c>
    </row>
    <row r="413">
      <c r="A413" s="18" t="s">
        <v>39</v>
      </c>
      <c r="B413" s="8" t="s">
        <v>30</v>
      </c>
      <c r="C413" s="8">
        <v>16.0</v>
      </c>
      <c r="D413" s="55">
        <v>0.93</v>
      </c>
      <c r="E413" s="27">
        <v>0.91</v>
      </c>
      <c r="F413" s="8">
        <v>0.007</v>
      </c>
      <c r="G413" s="21">
        <v>259.959710525</v>
      </c>
      <c r="H413" s="22">
        <f t="shared" si="1"/>
        <v>0.5446</v>
      </c>
      <c r="I413" s="22">
        <f t="shared" si="2"/>
        <v>1.836210062</v>
      </c>
      <c r="J413" s="22">
        <f t="shared" si="3"/>
        <v>1.021978022</v>
      </c>
      <c r="K413" s="22">
        <f t="shared" si="4"/>
        <v>0.003931293891</v>
      </c>
      <c r="L413" s="22">
        <f t="shared" si="5"/>
        <v>0.5110682059</v>
      </c>
      <c r="M413" s="22">
        <f t="shared" si="88"/>
        <v>0.4444444444</v>
      </c>
      <c r="N413" s="22">
        <f t="shared" si="89"/>
        <v>0.3752941664</v>
      </c>
      <c r="O413" s="22">
        <f t="shared" si="90"/>
        <v>0.4481526049</v>
      </c>
      <c r="P413" s="22">
        <f t="shared" si="9"/>
        <v>0.9521267306</v>
      </c>
    </row>
    <row r="414">
      <c r="A414" s="18" t="s">
        <v>39</v>
      </c>
      <c r="B414" s="8" t="s">
        <v>30</v>
      </c>
      <c r="C414" s="8">
        <v>17.0</v>
      </c>
      <c r="D414" s="55">
        <v>0.93</v>
      </c>
      <c r="E414" s="20">
        <v>0.83</v>
      </c>
      <c r="F414" s="8">
        <v>0.006</v>
      </c>
      <c r="G414" s="21">
        <v>236.160501311</v>
      </c>
      <c r="H414" s="22">
        <f t="shared" si="1"/>
        <v>0.4668</v>
      </c>
      <c r="I414" s="22">
        <f t="shared" si="2"/>
        <v>2.142245073</v>
      </c>
      <c r="J414" s="22">
        <f t="shared" si="3"/>
        <v>1.120481928</v>
      </c>
      <c r="K414" s="22">
        <f t="shared" si="4"/>
        <v>0.004744578037</v>
      </c>
      <c r="L414" s="22">
        <f t="shared" si="5"/>
        <v>0.6563332951</v>
      </c>
      <c r="M414" s="22">
        <f t="shared" si="88"/>
        <v>0.3333333333</v>
      </c>
      <c r="N414" s="22">
        <f t="shared" si="89"/>
        <v>0.3054608931</v>
      </c>
      <c r="O414" s="22">
        <f t="shared" si="90"/>
        <v>0.5114695292</v>
      </c>
      <c r="P414" s="22">
        <f t="shared" si="9"/>
        <v>0.9790956698</v>
      </c>
    </row>
    <row r="415">
      <c r="A415" s="18" t="s">
        <v>39</v>
      </c>
      <c r="B415" s="8" t="s">
        <v>30</v>
      </c>
      <c r="C415" s="8">
        <v>18.0</v>
      </c>
      <c r="D415" s="55">
        <v>0.93</v>
      </c>
      <c r="E415" s="27">
        <v>1.08</v>
      </c>
      <c r="F415" s="8">
        <v>0.008</v>
      </c>
      <c r="G415" s="21">
        <v>309.258426804</v>
      </c>
      <c r="H415" s="22">
        <f t="shared" si="1"/>
        <v>0.6224</v>
      </c>
      <c r="I415" s="22">
        <f t="shared" si="2"/>
        <v>1.606683805</v>
      </c>
      <c r="J415" s="22">
        <f t="shared" si="3"/>
        <v>0.8611111111</v>
      </c>
      <c r="K415" s="22">
        <f t="shared" si="4"/>
        <v>0.002784438633</v>
      </c>
      <c r="L415" s="22">
        <f t="shared" si="5"/>
        <v>0.3758992154</v>
      </c>
      <c r="M415" s="22">
        <f t="shared" si="88"/>
        <v>0.5555555556</v>
      </c>
      <c r="N415" s="22">
        <f t="shared" si="89"/>
        <v>0.5199498435</v>
      </c>
      <c r="O415" s="22">
        <f t="shared" si="90"/>
        <v>0.3765369371</v>
      </c>
      <c r="P415" s="22">
        <f t="shared" si="9"/>
        <v>0.9771106137</v>
      </c>
    </row>
    <row r="416">
      <c r="A416" s="18" t="s">
        <v>39</v>
      </c>
      <c r="B416" s="8" t="s">
        <v>30</v>
      </c>
      <c r="C416" s="8">
        <v>19.0</v>
      </c>
      <c r="D416" s="55">
        <v>0.93</v>
      </c>
      <c r="E416" s="20">
        <v>0.96</v>
      </c>
      <c r="F416" s="8">
        <v>0.007</v>
      </c>
      <c r="G416" s="21">
        <v>272.123152092999</v>
      </c>
      <c r="H416" s="22">
        <f t="shared" si="1"/>
        <v>0.5446</v>
      </c>
      <c r="I416" s="22">
        <f t="shared" si="2"/>
        <v>1.836210062</v>
      </c>
      <c r="J416" s="22">
        <f t="shared" si="3"/>
        <v>0.96875</v>
      </c>
      <c r="K416" s="22">
        <f t="shared" si="4"/>
        <v>0.003559969053</v>
      </c>
      <c r="L416" s="22">
        <f t="shared" si="5"/>
        <v>0.4882243272</v>
      </c>
      <c r="M416" s="22">
        <f t="shared" si="88"/>
        <v>0.4444444444</v>
      </c>
      <c r="N416" s="22">
        <f t="shared" si="89"/>
        <v>0.4109849715</v>
      </c>
      <c r="O416" s="22">
        <f t="shared" si="90"/>
        <v>0.4368166037</v>
      </c>
      <c r="P416" s="22">
        <f t="shared" si="9"/>
        <v>0.9768357495</v>
      </c>
    </row>
    <row r="417">
      <c r="A417" s="18" t="s">
        <v>39</v>
      </c>
      <c r="B417" s="8" t="s">
        <v>30</v>
      </c>
      <c r="C417" s="8">
        <v>20.0</v>
      </c>
      <c r="D417" s="55">
        <v>0.93</v>
      </c>
      <c r="E417" s="27">
        <v>0.75</v>
      </c>
      <c r="F417" s="8">
        <v>0.005</v>
      </c>
      <c r="G417" s="21">
        <v>214.169737923999</v>
      </c>
      <c r="H417" s="22">
        <f t="shared" si="1"/>
        <v>0.389</v>
      </c>
      <c r="I417" s="22">
        <f t="shared" si="2"/>
        <v>2.570694087</v>
      </c>
      <c r="J417" s="22">
        <f t="shared" si="3"/>
        <v>1.24</v>
      </c>
      <c r="K417" s="22">
        <f t="shared" si="4"/>
        <v>0.00578980024</v>
      </c>
      <c r="L417" s="22">
        <f t="shared" si="5"/>
        <v>0.868470036</v>
      </c>
      <c r="M417" s="22">
        <f t="shared" si="88"/>
        <v>0.2222222222</v>
      </c>
      <c r="N417" s="22">
        <f t="shared" si="89"/>
        <v>0.2409340858</v>
      </c>
      <c r="O417" s="22">
        <f t="shared" si="90"/>
        <v>0.586980237</v>
      </c>
      <c r="P417" s="22">
        <f t="shared" si="9"/>
        <v>1.015309707</v>
      </c>
    </row>
    <row r="418">
      <c r="A418" s="18" t="s">
        <v>39</v>
      </c>
      <c r="B418" s="8" t="s">
        <v>30</v>
      </c>
      <c r="C418" s="8">
        <v>21.0</v>
      </c>
      <c r="D418" s="55">
        <v>0.93</v>
      </c>
      <c r="E418" s="20">
        <v>0.84</v>
      </c>
      <c r="F418" s="8">
        <v>0.006</v>
      </c>
      <c r="G418" s="21">
        <v>240.143799505</v>
      </c>
      <c r="H418" s="22">
        <f t="shared" si="1"/>
        <v>0.4668</v>
      </c>
      <c r="I418" s="22">
        <f t="shared" si="2"/>
        <v>2.142245073</v>
      </c>
      <c r="J418" s="22">
        <f t="shared" si="3"/>
        <v>1.107142857</v>
      </c>
      <c r="K418" s="22">
        <f t="shared" si="4"/>
        <v>0.00461033289</v>
      </c>
      <c r="L418" s="22">
        <f t="shared" si="5"/>
        <v>0.6454466046</v>
      </c>
      <c r="M418" s="22">
        <f t="shared" si="88"/>
        <v>0.3333333333</v>
      </c>
      <c r="N418" s="22">
        <f t="shared" si="89"/>
        <v>0.3171489601</v>
      </c>
      <c r="O418" s="22">
        <f t="shared" si="90"/>
        <v>0.5069308701</v>
      </c>
      <c r="P418" s="22">
        <f t="shared" si="9"/>
        <v>0.9878617201</v>
      </c>
    </row>
    <row r="419">
      <c r="A419" s="18" t="s">
        <v>39</v>
      </c>
      <c r="B419" s="8" t="s">
        <v>30</v>
      </c>
      <c r="C419" s="8">
        <v>22.0</v>
      </c>
      <c r="D419" s="55">
        <v>0.93</v>
      </c>
      <c r="E419" s="27">
        <v>0.81</v>
      </c>
      <c r="F419" s="8">
        <v>0.006</v>
      </c>
      <c r="G419" s="21">
        <v>230.204486034998</v>
      </c>
      <c r="H419" s="22">
        <f t="shared" si="1"/>
        <v>0.4668</v>
      </c>
      <c r="I419" s="22">
        <f t="shared" si="2"/>
        <v>2.142245073</v>
      </c>
      <c r="J419" s="22">
        <f t="shared" si="3"/>
        <v>1.148148148</v>
      </c>
      <c r="K419" s="22">
        <f t="shared" si="4"/>
        <v>0.004987514222</v>
      </c>
      <c r="L419" s="22">
        <f t="shared" si="5"/>
        <v>0.67331442</v>
      </c>
      <c r="M419" s="22">
        <f t="shared" si="88"/>
        <v>0.3333333333</v>
      </c>
      <c r="N419" s="22">
        <f t="shared" si="89"/>
        <v>0.2879843443</v>
      </c>
      <c r="O419" s="22">
        <f t="shared" si="90"/>
        <v>0.5184096153</v>
      </c>
      <c r="P419" s="22">
        <f t="shared" si="9"/>
        <v>0.9659882582</v>
      </c>
    </row>
    <row r="420">
      <c r="A420" s="18" t="s">
        <v>39</v>
      </c>
      <c r="B420" s="8" t="s">
        <v>30</v>
      </c>
      <c r="C420" s="8">
        <v>23.0</v>
      </c>
      <c r="D420" s="55">
        <v>0.93</v>
      </c>
      <c r="E420" s="20">
        <v>0.83</v>
      </c>
      <c r="F420" s="8">
        <v>0.006</v>
      </c>
      <c r="G420" s="21">
        <v>237.652603483</v>
      </c>
      <c r="H420" s="22">
        <f t="shared" si="1"/>
        <v>0.4668</v>
      </c>
      <c r="I420" s="22">
        <f t="shared" si="2"/>
        <v>2.142245073</v>
      </c>
      <c r="J420" s="22">
        <f t="shared" si="3"/>
        <v>1.120481928</v>
      </c>
      <c r="K420" s="22">
        <f t="shared" si="4"/>
        <v>0.004714789198</v>
      </c>
      <c r="L420" s="22">
        <f t="shared" si="5"/>
        <v>0.6522125057</v>
      </c>
      <c r="M420" s="22">
        <f t="shared" si="88"/>
        <v>0.3333333333</v>
      </c>
      <c r="N420" s="22">
        <f t="shared" si="89"/>
        <v>0.3098391217</v>
      </c>
      <c r="O420" s="22">
        <f t="shared" si="90"/>
        <v>0.5097599066</v>
      </c>
      <c r="P420" s="22">
        <f t="shared" si="9"/>
        <v>0.9823793413</v>
      </c>
    </row>
    <row r="421">
      <c r="A421" s="18" t="s">
        <v>39</v>
      </c>
      <c r="B421" s="8" t="s">
        <v>30</v>
      </c>
      <c r="C421" s="8">
        <v>24.0</v>
      </c>
      <c r="D421" s="55">
        <v>0.93</v>
      </c>
      <c r="E421" s="27">
        <v>0.95</v>
      </c>
      <c r="F421" s="8">
        <v>0.007</v>
      </c>
      <c r="G421" s="21">
        <v>269.280303335999</v>
      </c>
      <c r="H421" s="22">
        <f t="shared" si="1"/>
        <v>0.5446</v>
      </c>
      <c r="I421" s="22">
        <f t="shared" si="2"/>
        <v>1.836210062</v>
      </c>
      <c r="J421" s="22">
        <f t="shared" si="3"/>
        <v>0.9789473684</v>
      </c>
      <c r="K421" s="22">
        <f t="shared" si="4"/>
        <v>0.003635421367</v>
      </c>
      <c r="L421" s="22">
        <f t="shared" si="5"/>
        <v>0.4933786141</v>
      </c>
      <c r="M421" s="22">
        <f t="shared" si="88"/>
        <v>0.4444444444</v>
      </c>
      <c r="N421" s="22">
        <f t="shared" si="89"/>
        <v>0.4026432895</v>
      </c>
      <c r="O421" s="22">
        <f t="shared" si="90"/>
        <v>0.4394144026</v>
      </c>
      <c r="P421" s="22">
        <f t="shared" si="9"/>
        <v>0.9710607389</v>
      </c>
    </row>
    <row r="422">
      <c r="A422" s="18" t="s">
        <v>39</v>
      </c>
      <c r="B422" s="8" t="s">
        <v>30</v>
      </c>
      <c r="C422" s="8">
        <v>25.0</v>
      </c>
      <c r="D422" s="55">
        <v>0.93</v>
      </c>
      <c r="E422" s="20">
        <v>0.85</v>
      </c>
      <c r="F422" s="8">
        <v>0.006</v>
      </c>
      <c r="G422" s="21">
        <v>242.853056987</v>
      </c>
      <c r="H422" s="22">
        <f t="shared" si="1"/>
        <v>0.4668</v>
      </c>
      <c r="I422" s="22">
        <f t="shared" si="2"/>
        <v>2.142245073</v>
      </c>
      <c r="J422" s="22">
        <f t="shared" si="3"/>
        <v>1.094117647</v>
      </c>
      <c r="K422" s="22">
        <f t="shared" si="4"/>
        <v>0.004505266109</v>
      </c>
      <c r="L422" s="22">
        <f t="shared" si="5"/>
        <v>0.6382460321</v>
      </c>
      <c r="M422" s="22">
        <f t="shared" si="88"/>
        <v>0.3333333333</v>
      </c>
      <c r="N422" s="22">
        <f t="shared" si="89"/>
        <v>0.3250986494</v>
      </c>
      <c r="O422" s="22">
        <f t="shared" si="90"/>
        <v>0.5038896302</v>
      </c>
      <c r="P422" s="22">
        <f t="shared" si="9"/>
        <v>0.993823987</v>
      </c>
    </row>
    <row r="423">
      <c r="A423" s="18" t="s">
        <v>39</v>
      </c>
      <c r="B423" s="8" t="s">
        <v>30</v>
      </c>
      <c r="C423" s="8">
        <v>26.0</v>
      </c>
      <c r="D423" s="55">
        <v>0.93</v>
      </c>
      <c r="E423" s="27">
        <v>0.87</v>
      </c>
      <c r="F423" s="8">
        <v>0.006</v>
      </c>
      <c r="G423" s="21">
        <v>247.886845908999</v>
      </c>
      <c r="H423" s="22">
        <f t="shared" si="1"/>
        <v>0.4668</v>
      </c>
      <c r="I423" s="22">
        <f t="shared" si="2"/>
        <v>2.142245073</v>
      </c>
      <c r="J423" s="22">
        <f t="shared" si="3"/>
        <v>1.068965517</v>
      </c>
      <c r="K423" s="22">
        <f t="shared" si="4"/>
        <v>0.004312312391</v>
      </c>
      <c r="L423" s="22">
        <f t="shared" si="5"/>
        <v>0.6252852967</v>
      </c>
      <c r="M423" s="22">
        <f t="shared" si="88"/>
        <v>0.3333333333</v>
      </c>
      <c r="N423" s="22">
        <f t="shared" si="89"/>
        <v>0.3398691383</v>
      </c>
      <c r="O423" s="22">
        <f t="shared" si="90"/>
        <v>0.4983348368</v>
      </c>
      <c r="P423" s="22">
        <f t="shared" si="9"/>
        <v>1.004901854</v>
      </c>
    </row>
    <row r="424">
      <c r="A424" s="18" t="s">
        <v>39</v>
      </c>
      <c r="B424" s="8" t="s">
        <v>30</v>
      </c>
      <c r="C424" s="8">
        <v>27.0</v>
      </c>
      <c r="D424" s="55">
        <v>0.93</v>
      </c>
      <c r="E424" s="20">
        <v>0.73</v>
      </c>
      <c r="F424" s="8">
        <v>0.005</v>
      </c>
      <c r="G424" s="21">
        <v>207.015261099999</v>
      </c>
      <c r="H424" s="22">
        <f t="shared" si="1"/>
        <v>0.389</v>
      </c>
      <c r="I424" s="22">
        <f t="shared" si="2"/>
        <v>2.570694087</v>
      </c>
      <c r="J424" s="22">
        <f t="shared" si="3"/>
        <v>1.273972603</v>
      </c>
      <c r="K424" s="22">
        <f t="shared" si="4"/>
        <v>0.006154003313</v>
      </c>
      <c r="L424" s="22">
        <f t="shared" si="5"/>
        <v>0.8984844838</v>
      </c>
      <c r="M424" s="22">
        <f t="shared" si="88"/>
        <v>0.2222222222</v>
      </c>
      <c r="N424" s="22">
        <f t="shared" si="89"/>
        <v>0.2199409288</v>
      </c>
      <c r="O424" s="22">
        <f t="shared" si="90"/>
        <v>0.5970811918</v>
      </c>
      <c r="P424" s="22">
        <f t="shared" si="9"/>
        <v>0.9981334872</v>
      </c>
    </row>
    <row r="425">
      <c r="A425" s="18" t="s">
        <v>39</v>
      </c>
      <c r="B425" s="8" t="s">
        <v>30</v>
      </c>
      <c r="C425" s="8">
        <v>28.0</v>
      </c>
      <c r="D425" s="55">
        <v>0.93</v>
      </c>
      <c r="E425" s="27">
        <v>0.72</v>
      </c>
      <c r="F425" s="8">
        <v>0.005</v>
      </c>
      <c r="G425" s="21">
        <v>206.445292927999</v>
      </c>
      <c r="H425" s="22">
        <f t="shared" si="1"/>
        <v>0.389</v>
      </c>
      <c r="I425" s="22">
        <f t="shared" si="2"/>
        <v>2.570694087</v>
      </c>
      <c r="J425" s="22">
        <f t="shared" si="3"/>
        <v>1.291666667</v>
      </c>
      <c r="K425" s="22">
        <f t="shared" si="4"/>
        <v>0.006256701949</v>
      </c>
      <c r="L425" s="22">
        <f t="shared" si="5"/>
        <v>0.9009650807</v>
      </c>
      <c r="M425" s="22">
        <f t="shared" si="88"/>
        <v>0.2222222222</v>
      </c>
      <c r="N425" s="22">
        <f t="shared" si="89"/>
        <v>0.2182684891</v>
      </c>
      <c r="O425" s="22">
        <f t="shared" si="90"/>
        <v>0.5979008653</v>
      </c>
      <c r="P425" s="22">
        <f t="shared" si="9"/>
        <v>0.9967651274</v>
      </c>
    </row>
    <row r="426">
      <c r="A426" s="18" t="s">
        <v>39</v>
      </c>
      <c r="B426" s="8" t="s">
        <v>30</v>
      </c>
      <c r="C426" s="8">
        <v>29.0</v>
      </c>
      <c r="D426" s="55">
        <v>0.93</v>
      </c>
      <c r="E426" s="20">
        <v>1.02</v>
      </c>
      <c r="F426" s="8">
        <v>0.007</v>
      </c>
      <c r="G426" s="21">
        <v>289.989044076</v>
      </c>
      <c r="H426" s="22">
        <f t="shared" si="1"/>
        <v>0.5446</v>
      </c>
      <c r="I426" s="22">
        <f t="shared" si="2"/>
        <v>1.836210062</v>
      </c>
      <c r="J426" s="22">
        <f t="shared" si="3"/>
        <v>0.9117647059</v>
      </c>
      <c r="K426" s="22">
        <f t="shared" si="4"/>
        <v>0.00314413501</v>
      </c>
      <c r="L426" s="22">
        <f t="shared" si="5"/>
        <v>0.4581453871</v>
      </c>
      <c r="M426" s="22">
        <f t="shared" si="88"/>
        <v>0.4444444444</v>
      </c>
      <c r="N426" s="22">
        <f t="shared" si="89"/>
        <v>0.4634082981</v>
      </c>
      <c r="O426" s="22">
        <f t="shared" si="90"/>
        <v>0.4211686267</v>
      </c>
      <c r="P426" s="22">
        <f t="shared" si="9"/>
        <v>1.013128822</v>
      </c>
    </row>
    <row r="427">
      <c r="A427" s="18" t="s">
        <v>39</v>
      </c>
      <c r="B427" s="8" t="s">
        <v>30</v>
      </c>
      <c r="C427" s="8">
        <v>30.0</v>
      </c>
      <c r="D427" s="55">
        <v>0.93</v>
      </c>
      <c r="E427" s="27">
        <v>0.84</v>
      </c>
      <c r="F427" s="8">
        <v>0.006</v>
      </c>
      <c r="G427" s="21">
        <v>240.403009404999</v>
      </c>
      <c r="H427" s="22">
        <f t="shared" si="1"/>
        <v>0.4668</v>
      </c>
      <c r="I427" s="22">
        <f t="shared" si="2"/>
        <v>2.142245073</v>
      </c>
      <c r="J427" s="22">
        <f t="shared" si="3"/>
        <v>1.107142857</v>
      </c>
      <c r="K427" s="22">
        <f t="shared" si="4"/>
        <v>0.004605361887</v>
      </c>
      <c r="L427" s="22">
        <f t="shared" si="5"/>
        <v>0.6447506642</v>
      </c>
      <c r="M427" s="22">
        <f t="shared" si="88"/>
        <v>0.3333333333</v>
      </c>
      <c r="N427" s="22">
        <f t="shared" si="89"/>
        <v>0.3179095516</v>
      </c>
      <c r="O427" s="22">
        <f t="shared" si="90"/>
        <v>0.5066383104</v>
      </c>
      <c r="P427" s="22">
        <f t="shared" si="9"/>
        <v>0.9884321637</v>
      </c>
    </row>
    <row r="428">
      <c r="A428" s="18" t="s">
        <v>39</v>
      </c>
      <c r="B428" s="8" t="s">
        <v>30</v>
      </c>
      <c r="C428" s="8">
        <v>31.0</v>
      </c>
      <c r="D428" s="55">
        <v>0.93</v>
      </c>
      <c r="E428" s="20">
        <v>0.83</v>
      </c>
      <c r="F428" s="8">
        <v>0.006</v>
      </c>
      <c r="G428" s="21">
        <v>234.936679633001</v>
      </c>
      <c r="H428" s="22">
        <f t="shared" si="1"/>
        <v>0.4668</v>
      </c>
      <c r="I428" s="22">
        <f t="shared" si="2"/>
        <v>2.142245073</v>
      </c>
      <c r="J428" s="22">
        <f t="shared" si="3"/>
        <v>1.120481928</v>
      </c>
      <c r="K428" s="22">
        <f t="shared" si="4"/>
        <v>0.004769293281</v>
      </c>
      <c r="L428" s="22">
        <f t="shared" si="5"/>
        <v>0.6597522373</v>
      </c>
      <c r="M428" s="22">
        <f t="shared" si="88"/>
        <v>0.3333333333</v>
      </c>
      <c r="N428" s="22">
        <f t="shared" si="89"/>
        <v>0.3018698716</v>
      </c>
      <c r="O428" s="22">
        <f t="shared" si="90"/>
        <v>0.5128803447</v>
      </c>
      <c r="P428" s="22">
        <f t="shared" si="9"/>
        <v>0.9764024037</v>
      </c>
    </row>
    <row r="429">
      <c r="A429" s="18" t="s">
        <v>39</v>
      </c>
      <c r="B429" s="8" t="s">
        <v>30</v>
      </c>
      <c r="C429" s="8">
        <v>32.0</v>
      </c>
      <c r="D429" s="55">
        <v>0.93</v>
      </c>
      <c r="E429" s="27">
        <v>0.82</v>
      </c>
      <c r="F429" s="8">
        <v>0.006</v>
      </c>
      <c r="G429" s="21">
        <v>235.046267017</v>
      </c>
      <c r="H429" s="22">
        <f t="shared" si="1"/>
        <v>0.4668</v>
      </c>
      <c r="I429" s="22">
        <f t="shared" si="2"/>
        <v>2.142245073</v>
      </c>
      <c r="J429" s="22">
        <f t="shared" si="3"/>
        <v>1.134146341</v>
      </c>
      <c r="K429" s="22">
        <f t="shared" si="4"/>
        <v>0.004825204654</v>
      </c>
      <c r="L429" s="22">
        <f t="shared" si="5"/>
        <v>0.659444636</v>
      </c>
      <c r="M429" s="22">
        <f t="shared" si="88"/>
        <v>0.3333333333</v>
      </c>
      <c r="N429" s="22">
        <f t="shared" si="89"/>
        <v>0.3021914304</v>
      </c>
      <c r="O429" s="22">
        <f t="shared" si="90"/>
        <v>0.5127536957</v>
      </c>
      <c r="P429" s="22">
        <f t="shared" si="9"/>
        <v>0.9766435728</v>
      </c>
    </row>
    <row r="430">
      <c r="A430" s="18" t="s">
        <v>39</v>
      </c>
      <c r="B430" s="8" t="s">
        <v>30</v>
      </c>
      <c r="C430" s="8">
        <v>33.0</v>
      </c>
      <c r="D430" s="55">
        <v>0.93</v>
      </c>
      <c r="E430" s="20">
        <v>0.78</v>
      </c>
      <c r="F430" s="8">
        <v>0.006</v>
      </c>
      <c r="G430" s="21">
        <v>223.018014187999</v>
      </c>
      <c r="H430" s="22">
        <f t="shared" si="1"/>
        <v>0.4668</v>
      </c>
      <c r="I430" s="22">
        <f t="shared" si="2"/>
        <v>2.142245073</v>
      </c>
      <c r="J430" s="22">
        <f t="shared" si="3"/>
        <v>1.192307692</v>
      </c>
      <c r="K430" s="22">
        <f t="shared" si="4"/>
        <v>0.005346239391</v>
      </c>
      <c r="L430" s="22">
        <f t="shared" si="5"/>
        <v>0.6950111208</v>
      </c>
      <c r="M430" s="22">
        <f t="shared" si="88"/>
        <v>0.3333333333</v>
      </c>
      <c r="N430" s="22">
        <f t="shared" si="89"/>
        <v>0.2668973053</v>
      </c>
      <c r="O430" s="22">
        <f t="shared" si="90"/>
        <v>0.5270383524</v>
      </c>
      <c r="P430" s="22">
        <f t="shared" si="9"/>
        <v>0.950172979</v>
      </c>
    </row>
    <row r="431">
      <c r="A431" s="18" t="s">
        <v>39</v>
      </c>
      <c r="B431" s="8" t="s">
        <v>80</v>
      </c>
      <c r="C431" s="8">
        <v>1.0</v>
      </c>
      <c r="D431" s="55">
        <v>0.93</v>
      </c>
      <c r="E431" s="21">
        <v>0.82</v>
      </c>
      <c r="F431" s="8">
        <v>0.006</v>
      </c>
      <c r="G431" s="21">
        <v>248.993979337</v>
      </c>
      <c r="H431" s="22">
        <f t="shared" si="1"/>
        <v>0.4668</v>
      </c>
      <c r="I431" s="22">
        <f t="shared" si="2"/>
        <v>2.142245073</v>
      </c>
      <c r="J431" s="22">
        <f t="shared" si="3"/>
        <v>1.134146341</v>
      </c>
      <c r="K431" s="22">
        <f t="shared" si="4"/>
        <v>0.004554914719</v>
      </c>
      <c r="L431" s="22">
        <f t="shared" si="5"/>
        <v>0.6225050116</v>
      </c>
      <c r="M431" s="22">
        <f t="shared" si="88"/>
        <v>0.3333333333</v>
      </c>
      <c r="N431" s="22">
        <f t="shared" si="89"/>
        <v>0.3431177652</v>
      </c>
      <c r="O431" s="22">
        <f t="shared" si="90"/>
        <v>0.497129504</v>
      </c>
      <c r="P431" s="22">
        <f t="shared" si="9"/>
        <v>1.007338324</v>
      </c>
    </row>
    <row r="432">
      <c r="A432" s="18" t="s">
        <v>39</v>
      </c>
      <c r="B432" s="8" t="s">
        <v>80</v>
      </c>
      <c r="C432" s="8">
        <v>2.0</v>
      </c>
      <c r="D432" s="55">
        <v>0.93</v>
      </c>
      <c r="E432" s="21">
        <v>1.02</v>
      </c>
      <c r="F432" s="8">
        <v>0.007</v>
      </c>
      <c r="G432" s="21">
        <v>302.87658969</v>
      </c>
      <c r="H432" s="22">
        <f t="shared" si="1"/>
        <v>0.5446</v>
      </c>
      <c r="I432" s="22">
        <f t="shared" si="2"/>
        <v>1.836210062</v>
      </c>
      <c r="J432" s="22">
        <f t="shared" si="3"/>
        <v>0.9117647059</v>
      </c>
      <c r="K432" s="22">
        <f t="shared" si="4"/>
        <v>0.003010350542</v>
      </c>
      <c r="L432" s="22">
        <f t="shared" si="5"/>
        <v>0.438651079</v>
      </c>
      <c r="M432" s="22">
        <f t="shared" si="88"/>
        <v>0.4444444444</v>
      </c>
      <c r="N432" s="22">
        <f t="shared" si="89"/>
        <v>0.501223819</v>
      </c>
      <c r="O432" s="22">
        <f t="shared" si="90"/>
        <v>0.4105594751</v>
      </c>
      <c r="P432" s="22">
        <f t="shared" si="9"/>
        <v>1.039308798</v>
      </c>
    </row>
    <row r="433">
      <c r="A433" s="18" t="s">
        <v>39</v>
      </c>
      <c r="B433" s="8" t="s">
        <v>80</v>
      </c>
      <c r="C433" s="8">
        <v>3.0</v>
      </c>
      <c r="D433" s="55">
        <v>0.93</v>
      </c>
      <c r="E433" s="21">
        <v>0.6</v>
      </c>
      <c r="F433" s="8">
        <v>0.004</v>
      </c>
      <c r="G433" s="21">
        <v>173.868882474999</v>
      </c>
      <c r="H433" s="22">
        <f t="shared" si="1"/>
        <v>0.3112</v>
      </c>
      <c r="I433" s="22">
        <f t="shared" si="2"/>
        <v>3.213367609</v>
      </c>
      <c r="J433" s="22">
        <f t="shared" si="3"/>
        <v>1.55</v>
      </c>
      <c r="K433" s="22">
        <f t="shared" si="4"/>
        <v>0.008914763688</v>
      </c>
      <c r="L433" s="22">
        <f t="shared" si="5"/>
        <v>1.337214553</v>
      </c>
      <c r="M433" s="22">
        <f t="shared" si="88"/>
        <v>0.1111111111</v>
      </c>
      <c r="N433" s="22">
        <f t="shared" si="89"/>
        <v>0.1226805495</v>
      </c>
      <c r="O433" s="22">
        <f t="shared" si="90"/>
        <v>0.7136884686</v>
      </c>
      <c r="P433" s="22">
        <f t="shared" si="9"/>
        <v>1.010412495</v>
      </c>
    </row>
    <row r="434">
      <c r="A434" s="18" t="s">
        <v>39</v>
      </c>
      <c r="B434" s="8" t="s">
        <v>80</v>
      </c>
      <c r="C434" s="8">
        <v>4.0</v>
      </c>
      <c r="D434" s="55">
        <v>0.93</v>
      </c>
      <c r="E434" s="21">
        <v>0.64</v>
      </c>
      <c r="F434" s="8">
        <v>0.005</v>
      </c>
      <c r="G434" s="21">
        <v>186.038358048999</v>
      </c>
      <c r="H434" s="22">
        <f t="shared" si="1"/>
        <v>0.389</v>
      </c>
      <c r="I434" s="22">
        <f t="shared" si="2"/>
        <v>2.570694087</v>
      </c>
      <c r="J434" s="22">
        <f t="shared" si="3"/>
        <v>1.453125</v>
      </c>
      <c r="K434" s="22">
        <f t="shared" si="4"/>
        <v>0.007810889191</v>
      </c>
      <c r="L434" s="22">
        <f t="shared" si="5"/>
        <v>0.9997938165</v>
      </c>
      <c r="M434" s="22">
        <f t="shared" si="88"/>
        <v>0.2222222222</v>
      </c>
      <c r="N434" s="22">
        <f t="shared" si="89"/>
        <v>0.15838906</v>
      </c>
      <c r="O434" s="22">
        <f t="shared" si="90"/>
        <v>0.6288075474</v>
      </c>
      <c r="P434" s="22">
        <f t="shared" si="9"/>
        <v>0.9477728673</v>
      </c>
    </row>
    <row r="435">
      <c r="A435" s="18" t="s">
        <v>39</v>
      </c>
      <c r="B435" s="8" t="s">
        <v>80</v>
      </c>
      <c r="C435" s="8">
        <v>5.0</v>
      </c>
      <c r="D435" s="55">
        <v>0.93</v>
      </c>
      <c r="E435" s="21">
        <v>0.86</v>
      </c>
      <c r="F435" s="8">
        <v>0.006</v>
      </c>
      <c r="G435" s="21">
        <v>249.515005138999</v>
      </c>
      <c r="H435" s="22">
        <f t="shared" si="1"/>
        <v>0.4668</v>
      </c>
      <c r="I435" s="22">
        <f t="shared" si="2"/>
        <v>2.142245073</v>
      </c>
      <c r="J435" s="22">
        <f t="shared" si="3"/>
        <v>1.081395349</v>
      </c>
      <c r="K435" s="22">
        <f t="shared" si="4"/>
        <v>0.004333989245</v>
      </c>
      <c r="L435" s="22">
        <f t="shared" si="5"/>
        <v>0.6212051252</v>
      </c>
      <c r="M435" s="22">
        <f t="shared" si="88"/>
        <v>0.3333333333</v>
      </c>
      <c r="N435" s="22">
        <f t="shared" si="89"/>
        <v>0.3446465949</v>
      </c>
      <c r="O435" s="22">
        <f t="shared" si="90"/>
        <v>0.4965642801</v>
      </c>
      <c r="P435" s="22">
        <f t="shared" si="9"/>
        <v>1.008484946</v>
      </c>
    </row>
    <row r="436">
      <c r="A436" s="18" t="s">
        <v>39</v>
      </c>
      <c r="B436" s="8" t="s">
        <v>80</v>
      </c>
      <c r="C436" s="8">
        <v>6.0</v>
      </c>
      <c r="D436" s="55">
        <v>0.93</v>
      </c>
      <c r="E436" s="21">
        <v>0.73</v>
      </c>
      <c r="F436" s="8">
        <v>0.005</v>
      </c>
      <c r="G436" s="21">
        <v>210.98589104</v>
      </c>
      <c r="H436" s="22">
        <f t="shared" si="1"/>
        <v>0.389</v>
      </c>
      <c r="I436" s="22">
        <f t="shared" si="2"/>
        <v>2.570694087</v>
      </c>
      <c r="J436" s="22">
        <f t="shared" si="3"/>
        <v>1.273972603</v>
      </c>
      <c r="K436" s="22">
        <f t="shared" si="4"/>
        <v>0.006038188603</v>
      </c>
      <c r="L436" s="22">
        <f t="shared" si="5"/>
        <v>0.8815755361</v>
      </c>
      <c r="M436" s="22">
        <f t="shared" si="88"/>
        <v>0.2222222222</v>
      </c>
      <c r="N436" s="22">
        <f t="shared" si="89"/>
        <v>0.2315918237</v>
      </c>
      <c r="O436" s="22">
        <f t="shared" si="90"/>
        <v>0.5914327862</v>
      </c>
      <c r="P436" s="22">
        <f t="shared" si="9"/>
        <v>1.007666038</v>
      </c>
    </row>
    <row r="437">
      <c r="A437" s="18" t="s">
        <v>39</v>
      </c>
      <c r="B437" s="8" t="s">
        <v>80</v>
      </c>
      <c r="C437" s="8">
        <v>7.0</v>
      </c>
      <c r="D437" s="55">
        <v>0.93</v>
      </c>
      <c r="E437" s="21">
        <v>0.85</v>
      </c>
      <c r="F437" s="8">
        <v>0.006</v>
      </c>
      <c r="G437" s="21">
        <v>245.289452782</v>
      </c>
      <c r="H437" s="22">
        <f t="shared" si="1"/>
        <v>0.4668</v>
      </c>
      <c r="I437" s="22">
        <f t="shared" si="2"/>
        <v>2.142245073</v>
      </c>
      <c r="J437" s="22">
        <f t="shared" si="3"/>
        <v>1.094117647</v>
      </c>
      <c r="K437" s="22">
        <f t="shared" si="4"/>
        <v>0.004460516482</v>
      </c>
      <c r="L437" s="22">
        <f t="shared" si="5"/>
        <v>0.6319065017</v>
      </c>
      <c r="M437" s="22">
        <f t="shared" si="88"/>
        <v>0.3333333333</v>
      </c>
      <c r="N437" s="22">
        <f t="shared" si="89"/>
        <v>0.3322476891</v>
      </c>
      <c r="O437" s="22">
        <f t="shared" si="90"/>
        <v>0.5011856833</v>
      </c>
      <c r="P437" s="22">
        <f t="shared" si="9"/>
        <v>0.9991857669</v>
      </c>
    </row>
    <row r="438">
      <c r="A438" s="18" t="s">
        <v>39</v>
      </c>
      <c r="B438" s="8" t="s">
        <v>80</v>
      </c>
      <c r="C438" s="8">
        <v>8.0</v>
      </c>
      <c r="D438" s="55">
        <v>0.93</v>
      </c>
      <c r="E438" s="21">
        <v>0.65</v>
      </c>
      <c r="F438" s="8">
        <v>0.005</v>
      </c>
      <c r="G438" s="21">
        <v>188.45633507</v>
      </c>
      <c r="H438" s="22">
        <f t="shared" si="1"/>
        <v>0.389</v>
      </c>
      <c r="I438" s="22">
        <f t="shared" si="2"/>
        <v>2.570694087</v>
      </c>
      <c r="J438" s="22">
        <f t="shared" si="3"/>
        <v>1.430769231</v>
      </c>
      <c r="K438" s="22">
        <f t="shared" si="4"/>
        <v>0.00759204635</v>
      </c>
      <c r="L438" s="22">
        <f t="shared" si="5"/>
        <v>0.9869660255</v>
      </c>
      <c r="M438" s="22">
        <f t="shared" si="88"/>
        <v>0.2222222222</v>
      </c>
      <c r="N438" s="22">
        <f t="shared" si="89"/>
        <v>0.1654840542</v>
      </c>
      <c r="O438" s="22">
        <f t="shared" si="90"/>
        <v>0.6249796221</v>
      </c>
      <c r="P438" s="22">
        <f t="shared" si="9"/>
        <v>0.9535778625</v>
      </c>
    </row>
    <row r="439">
      <c r="A439" s="18" t="s">
        <v>39</v>
      </c>
      <c r="B439" s="8" t="s">
        <v>80</v>
      </c>
      <c r="C439" s="8">
        <v>9.0</v>
      </c>
      <c r="D439" s="55">
        <v>0.93</v>
      </c>
      <c r="E439" s="21">
        <v>0.76</v>
      </c>
      <c r="F439" s="8">
        <v>0.005</v>
      </c>
      <c r="G439" s="21">
        <v>222.736219675</v>
      </c>
      <c r="H439" s="22">
        <f t="shared" si="1"/>
        <v>0.389</v>
      </c>
      <c r="I439" s="22">
        <f t="shared" si="2"/>
        <v>2.570694087</v>
      </c>
      <c r="J439" s="22">
        <f t="shared" si="3"/>
        <v>1.223684211</v>
      </c>
      <c r="K439" s="22">
        <f t="shared" si="4"/>
        <v>0.005493871685</v>
      </c>
      <c r="L439" s="22">
        <f t="shared" si="5"/>
        <v>0.8350684961</v>
      </c>
      <c r="M439" s="22">
        <f t="shared" si="88"/>
        <v>0.2222222222</v>
      </c>
      <c r="N439" s="22">
        <f t="shared" si="89"/>
        <v>0.2660704445</v>
      </c>
      <c r="O439" s="22">
        <f t="shared" si="90"/>
        <v>0.5753264259</v>
      </c>
      <c r="P439" s="22">
        <f t="shared" si="9"/>
        <v>1.035875818</v>
      </c>
    </row>
    <row r="440">
      <c r="A440" s="18" t="s">
        <v>39</v>
      </c>
      <c r="B440" s="8" t="s">
        <v>80</v>
      </c>
      <c r="C440" s="8">
        <v>10.0</v>
      </c>
      <c r="D440" s="55">
        <v>0.93</v>
      </c>
      <c r="E440" s="21">
        <v>0.69</v>
      </c>
      <c r="F440" s="8">
        <v>0.005</v>
      </c>
      <c r="G440" s="21">
        <v>201.823130159999</v>
      </c>
      <c r="H440" s="22">
        <f t="shared" si="1"/>
        <v>0.389</v>
      </c>
      <c r="I440" s="22">
        <f t="shared" si="2"/>
        <v>2.570694087</v>
      </c>
      <c r="J440" s="22">
        <f t="shared" si="3"/>
        <v>1.347826087</v>
      </c>
      <c r="K440" s="22">
        <f t="shared" si="4"/>
        <v>0.006678253805</v>
      </c>
      <c r="L440" s="22">
        <f t="shared" si="5"/>
        <v>0.9215990251</v>
      </c>
      <c r="M440" s="22">
        <f t="shared" si="88"/>
        <v>0.2222222222</v>
      </c>
      <c r="N440" s="22">
        <f t="shared" si="89"/>
        <v>0.2047058218</v>
      </c>
      <c r="O440" s="22">
        <f t="shared" si="90"/>
        <v>0.6046320774</v>
      </c>
      <c r="P440" s="22">
        <f t="shared" si="9"/>
        <v>0.9856683997</v>
      </c>
    </row>
    <row r="441">
      <c r="A441" s="18" t="s">
        <v>39</v>
      </c>
      <c r="B441" s="8" t="s">
        <v>80</v>
      </c>
      <c r="C441" s="8">
        <v>11.0</v>
      </c>
      <c r="D441" s="55">
        <v>0.93</v>
      </c>
      <c r="E441" s="21">
        <v>0.87</v>
      </c>
      <c r="F441" s="8">
        <v>0.006</v>
      </c>
      <c r="G441" s="21">
        <v>252.464720996999</v>
      </c>
      <c r="H441" s="22">
        <f t="shared" si="1"/>
        <v>0.4668</v>
      </c>
      <c r="I441" s="22">
        <f t="shared" si="2"/>
        <v>2.142245073</v>
      </c>
      <c r="J441" s="22">
        <f t="shared" si="3"/>
        <v>1.068965517</v>
      </c>
      <c r="K441" s="22">
        <f t="shared" si="4"/>
        <v>0.004234118387</v>
      </c>
      <c r="L441" s="22">
        <f t="shared" si="5"/>
        <v>0.6139471661</v>
      </c>
      <c r="M441" s="22">
        <f t="shared" si="88"/>
        <v>0.3333333333</v>
      </c>
      <c r="N441" s="22">
        <f t="shared" si="89"/>
        <v>0.3533018536</v>
      </c>
      <c r="O441" s="22">
        <f t="shared" si="90"/>
        <v>0.4933884237</v>
      </c>
      <c r="P441" s="22">
        <f t="shared" si="9"/>
        <v>1.01497639</v>
      </c>
    </row>
    <row r="442">
      <c r="A442" s="18" t="s">
        <v>39</v>
      </c>
      <c r="B442" s="8" t="s">
        <v>80</v>
      </c>
      <c r="C442" s="8">
        <v>12.0</v>
      </c>
      <c r="D442" s="55">
        <v>0.93</v>
      </c>
      <c r="E442" s="21">
        <v>0.72</v>
      </c>
      <c r="F442" s="8">
        <v>0.005</v>
      </c>
      <c r="G442" s="21">
        <v>208.939082808</v>
      </c>
      <c r="H442" s="22">
        <f t="shared" si="1"/>
        <v>0.389</v>
      </c>
      <c r="I442" s="22">
        <f t="shared" si="2"/>
        <v>2.570694087</v>
      </c>
      <c r="J442" s="22">
        <f t="shared" si="3"/>
        <v>1.291666667</v>
      </c>
      <c r="K442" s="22">
        <f t="shared" si="4"/>
        <v>0.006182025159</v>
      </c>
      <c r="L442" s="22">
        <f t="shared" si="5"/>
        <v>0.8902116229</v>
      </c>
      <c r="M442" s="22">
        <f t="shared" si="88"/>
        <v>0.2222222222</v>
      </c>
      <c r="N442" s="22">
        <f t="shared" si="89"/>
        <v>0.2255859385</v>
      </c>
      <c r="O442" s="22">
        <f t="shared" si="90"/>
        <v>0.5943310549</v>
      </c>
      <c r="P442" s="22">
        <f t="shared" si="9"/>
        <v>1.002752131</v>
      </c>
    </row>
    <row r="443">
      <c r="A443" s="18" t="s">
        <v>39</v>
      </c>
      <c r="B443" s="8" t="s">
        <v>80</v>
      </c>
      <c r="C443" s="8">
        <v>13.0</v>
      </c>
      <c r="D443" s="55">
        <v>0.93</v>
      </c>
      <c r="E443" s="21">
        <v>0.84</v>
      </c>
      <c r="F443" s="8">
        <v>0.006</v>
      </c>
      <c r="G443" s="21">
        <v>242.295574399</v>
      </c>
      <c r="H443" s="22">
        <f t="shared" si="1"/>
        <v>0.4668</v>
      </c>
      <c r="I443" s="22">
        <f t="shared" si="2"/>
        <v>2.142245073</v>
      </c>
      <c r="J443" s="22">
        <f t="shared" si="3"/>
        <v>1.107142857</v>
      </c>
      <c r="K443" s="22">
        <f t="shared" si="4"/>
        <v>0.004569389515</v>
      </c>
      <c r="L443" s="22">
        <f t="shared" si="5"/>
        <v>0.6397145321</v>
      </c>
      <c r="M443" s="22">
        <f t="shared" si="88"/>
        <v>0.3333333333</v>
      </c>
      <c r="N443" s="22">
        <f t="shared" si="89"/>
        <v>0.3234628457</v>
      </c>
      <c r="O443" s="22">
        <f t="shared" si="90"/>
        <v>0.5045124392</v>
      </c>
      <c r="P443" s="22">
        <f t="shared" si="9"/>
        <v>0.9925971343</v>
      </c>
    </row>
    <row r="444">
      <c r="A444" s="18" t="s">
        <v>39</v>
      </c>
      <c r="B444" s="8" t="s">
        <v>80</v>
      </c>
      <c r="C444" s="8">
        <v>14.0</v>
      </c>
      <c r="D444" s="55">
        <v>0.93</v>
      </c>
      <c r="E444" s="21">
        <v>1.26</v>
      </c>
      <c r="F444" s="8">
        <v>0.009</v>
      </c>
      <c r="G444" s="21">
        <v>365.606870733</v>
      </c>
      <c r="H444" s="22">
        <f t="shared" si="1"/>
        <v>0.7002</v>
      </c>
      <c r="I444" s="22">
        <f t="shared" si="2"/>
        <v>1.428163382</v>
      </c>
      <c r="J444" s="22">
        <f t="shared" si="3"/>
        <v>0.7380952381</v>
      </c>
      <c r="K444" s="22">
        <f t="shared" si="4"/>
        <v>0.002018822121</v>
      </c>
      <c r="L444" s="22">
        <f t="shared" si="5"/>
        <v>0.2826350969</v>
      </c>
      <c r="M444" s="22">
        <f t="shared" si="88"/>
        <v>0.6666666667</v>
      </c>
      <c r="N444" s="22">
        <f t="shared" si="89"/>
        <v>0.6852913154</v>
      </c>
      <c r="O444" s="22">
        <f t="shared" si="90"/>
        <v>0.3169557511</v>
      </c>
      <c r="P444" s="22">
        <f t="shared" si="9"/>
        <v>1.011174789</v>
      </c>
    </row>
    <row r="445">
      <c r="A445" s="18" t="s">
        <v>39</v>
      </c>
      <c r="B445" s="8" t="s">
        <v>80</v>
      </c>
      <c r="C445" s="8">
        <v>15.0</v>
      </c>
      <c r="D445" s="55">
        <v>0.93</v>
      </c>
      <c r="E445" s="21">
        <v>1.18</v>
      </c>
      <c r="F445" s="8">
        <v>0.009</v>
      </c>
      <c r="G445" s="21">
        <v>341.958559597</v>
      </c>
      <c r="H445" s="22">
        <f t="shared" si="1"/>
        <v>0.7002</v>
      </c>
      <c r="I445" s="22">
        <f t="shared" si="2"/>
        <v>1.428163382</v>
      </c>
      <c r="J445" s="22">
        <f t="shared" si="3"/>
        <v>0.7881355932</v>
      </c>
      <c r="K445" s="22">
        <f t="shared" si="4"/>
        <v>0.002304769309</v>
      </c>
      <c r="L445" s="22">
        <f t="shared" si="5"/>
        <v>0.302180865</v>
      </c>
      <c r="M445" s="22">
        <f t="shared" si="88"/>
        <v>0.6666666667</v>
      </c>
      <c r="N445" s="22">
        <f t="shared" si="89"/>
        <v>0.6159008177</v>
      </c>
      <c r="O445" s="22">
        <f t="shared" si="90"/>
        <v>0.3305665601</v>
      </c>
      <c r="P445" s="22">
        <f t="shared" si="9"/>
        <v>0.9695404906</v>
      </c>
    </row>
    <row r="446">
      <c r="A446" s="18" t="s">
        <v>39</v>
      </c>
      <c r="B446" s="8" t="s">
        <v>80</v>
      </c>
      <c r="C446" s="8">
        <v>16.0</v>
      </c>
      <c r="D446" s="55">
        <v>0.93</v>
      </c>
      <c r="E446" s="21">
        <v>0.75</v>
      </c>
      <c r="F446" s="8">
        <v>0.005</v>
      </c>
      <c r="G446" s="21">
        <v>217.794661576</v>
      </c>
      <c r="H446" s="22">
        <f t="shared" si="1"/>
        <v>0.389</v>
      </c>
      <c r="I446" s="22">
        <f t="shared" si="2"/>
        <v>2.570694087</v>
      </c>
      <c r="J446" s="22">
        <f t="shared" si="3"/>
        <v>1.24</v>
      </c>
      <c r="K446" s="22">
        <f t="shared" si="4"/>
        <v>0.005693436152</v>
      </c>
      <c r="L446" s="22">
        <f t="shared" si="5"/>
        <v>0.8540154228</v>
      </c>
      <c r="M446" s="22">
        <f t="shared" si="88"/>
        <v>0.2222222222</v>
      </c>
      <c r="N446" s="22">
        <f t="shared" si="89"/>
        <v>0.2515705856</v>
      </c>
      <c r="O446" s="22">
        <f t="shared" si="90"/>
        <v>0.5819917727</v>
      </c>
      <c r="P446" s="22">
        <f t="shared" si="9"/>
        <v>1.024012297</v>
      </c>
    </row>
    <row r="447">
      <c r="A447" s="18" t="s">
        <v>39</v>
      </c>
      <c r="B447" s="8" t="s">
        <v>80</v>
      </c>
      <c r="C447" s="8">
        <v>17.0</v>
      </c>
      <c r="D447" s="55">
        <v>0.93</v>
      </c>
      <c r="E447" s="21">
        <v>0.75</v>
      </c>
      <c r="F447" s="8">
        <v>0.005</v>
      </c>
      <c r="G447" s="21">
        <v>216.876044056</v>
      </c>
      <c r="H447" s="22">
        <f t="shared" si="1"/>
        <v>0.389</v>
      </c>
      <c r="I447" s="22">
        <f t="shared" si="2"/>
        <v>2.570694087</v>
      </c>
      <c r="J447" s="22">
        <f t="shared" si="3"/>
        <v>1.24</v>
      </c>
      <c r="K447" s="22">
        <f t="shared" si="4"/>
        <v>0.005717551726</v>
      </c>
      <c r="L447" s="22">
        <f t="shared" si="5"/>
        <v>0.8576327589</v>
      </c>
      <c r="M447" s="22">
        <f t="shared" si="88"/>
        <v>0.2222222222</v>
      </c>
      <c r="N447" s="22">
        <f t="shared" si="89"/>
        <v>0.248875115</v>
      </c>
      <c r="O447" s="22">
        <f t="shared" si="90"/>
        <v>0.5832478964</v>
      </c>
      <c r="P447" s="22">
        <f t="shared" si="9"/>
        <v>1.021806912</v>
      </c>
    </row>
    <row r="448">
      <c r="A448" s="18" t="s">
        <v>39</v>
      </c>
      <c r="B448" s="8" t="s">
        <v>80</v>
      </c>
      <c r="C448" s="8">
        <v>18.0</v>
      </c>
      <c r="D448" s="55">
        <v>0.93</v>
      </c>
      <c r="E448" s="21">
        <v>0.82</v>
      </c>
      <c r="F448" s="8">
        <v>0.006</v>
      </c>
      <c r="G448" s="21">
        <v>236.877676697</v>
      </c>
      <c r="H448" s="22">
        <f t="shared" si="1"/>
        <v>0.4668</v>
      </c>
      <c r="I448" s="22">
        <f t="shared" si="2"/>
        <v>2.142245073</v>
      </c>
      <c r="J448" s="22">
        <f t="shared" si="3"/>
        <v>1.134146341</v>
      </c>
      <c r="K448" s="22">
        <f t="shared" si="4"/>
        <v>0.004787898789</v>
      </c>
      <c r="L448" s="22">
        <f t="shared" si="5"/>
        <v>0.6543461679</v>
      </c>
      <c r="M448" s="22">
        <f t="shared" si="88"/>
        <v>0.3333333333</v>
      </c>
      <c r="N448" s="22">
        <f t="shared" si="89"/>
        <v>0.3075652784</v>
      </c>
      <c r="O448" s="22">
        <f t="shared" si="90"/>
        <v>0.5106463742</v>
      </c>
      <c r="P448" s="22">
        <f t="shared" si="9"/>
        <v>0.9806739588</v>
      </c>
    </row>
    <row r="449">
      <c r="A449" s="18" t="s">
        <v>39</v>
      </c>
      <c r="B449" s="8" t="s">
        <v>80</v>
      </c>
      <c r="C449" s="8">
        <v>19.0</v>
      </c>
      <c r="D449" s="55">
        <v>0.93</v>
      </c>
      <c r="E449" s="21">
        <v>1.2</v>
      </c>
      <c r="F449" s="8">
        <v>0.009</v>
      </c>
      <c r="G449" s="21">
        <v>348.146061088999</v>
      </c>
      <c r="H449" s="22">
        <f t="shared" si="1"/>
        <v>0.7002</v>
      </c>
      <c r="I449" s="22">
        <f t="shared" si="2"/>
        <v>1.428163382</v>
      </c>
      <c r="J449" s="22">
        <f t="shared" si="3"/>
        <v>0.775</v>
      </c>
      <c r="K449" s="22">
        <f t="shared" si="4"/>
        <v>0.002226077175</v>
      </c>
      <c r="L449" s="22">
        <f t="shared" si="5"/>
        <v>0.2968102899</v>
      </c>
      <c r="M449" s="22">
        <f t="shared" si="88"/>
        <v>0.6666666667</v>
      </c>
      <c r="N449" s="22">
        <f t="shared" si="89"/>
        <v>0.6340566092</v>
      </c>
      <c r="O449" s="22">
        <f t="shared" si="90"/>
        <v>0.3268936778</v>
      </c>
      <c r="P449" s="22">
        <f t="shared" si="9"/>
        <v>0.9804339655</v>
      </c>
    </row>
    <row r="450">
      <c r="A450" s="18" t="s">
        <v>39</v>
      </c>
      <c r="B450" s="8" t="s">
        <v>80</v>
      </c>
      <c r="C450" s="8">
        <v>20.0</v>
      </c>
      <c r="D450" s="55">
        <v>0.93</v>
      </c>
      <c r="E450" s="21">
        <v>0.86</v>
      </c>
      <c r="F450" s="8">
        <v>0.006</v>
      </c>
      <c r="G450" s="21">
        <v>248.3521269</v>
      </c>
      <c r="H450" s="22">
        <f t="shared" si="1"/>
        <v>0.4668</v>
      </c>
      <c r="I450" s="22">
        <f t="shared" si="2"/>
        <v>2.142245073</v>
      </c>
      <c r="J450" s="22">
        <f t="shared" si="3"/>
        <v>1.081395349</v>
      </c>
      <c r="K450" s="22">
        <f t="shared" si="4"/>
        <v>0.004354282616</v>
      </c>
      <c r="L450" s="22">
        <f t="shared" si="5"/>
        <v>0.6241138416</v>
      </c>
      <c r="M450" s="22">
        <f t="shared" si="88"/>
        <v>0.3333333333</v>
      </c>
      <c r="N450" s="22">
        <f t="shared" si="89"/>
        <v>0.3412343978</v>
      </c>
      <c r="O450" s="22">
        <f t="shared" si="90"/>
        <v>0.4978275755</v>
      </c>
      <c r="P450" s="22">
        <f t="shared" si="9"/>
        <v>1.005925798</v>
      </c>
    </row>
    <row r="451">
      <c r="A451" s="18" t="s">
        <v>39</v>
      </c>
      <c r="B451" s="8" t="s">
        <v>80</v>
      </c>
      <c r="C451" s="8">
        <v>21.0</v>
      </c>
      <c r="D451" s="55">
        <v>0.93</v>
      </c>
      <c r="E451" s="21">
        <v>1.0</v>
      </c>
      <c r="F451" s="8">
        <v>0.007</v>
      </c>
      <c r="G451" s="21">
        <v>290.785667334</v>
      </c>
      <c r="H451" s="22">
        <f t="shared" si="1"/>
        <v>0.5446</v>
      </c>
      <c r="I451" s="22">
        <f t="shared" si="2"/>
        <v>1.836210062</v>
      </c>
      <c r="J451" s="22">
        <f t="shared" si="3"/>
        <v>0.93</v>
      </c>
      <c r="K451" s="22">
        <f t="shared" si="4"/>
        <v>0.003198231909</v>
      </c>
      <c r="L451" s="22">
        <f t="shared" si="5"/>
        <v>0.4568902727</v>
      </c>
      <c r="M451" s="22">
        <f t="shared" si="88"/>
        <v>0.4444444444</v>
      </c>
      <c r="N451" s="22">
        <f t="shared" si="89"/>
        <v>0.4657458047</v>
      </c>
      <c r="O451" s="22">
        <f t="shared" si="90"/>
        <v>0.4204969656</v>
      </c>
      <c r="P451" s="22">
        <f t="shared" si="9"/>
        <v>1.014747096</v>
      </c>
    </row>
    <row r="452">
      <c r="A452" s="18" t="s">
        <v>39</v>
      </c>
      <c r="B452" s="8" t="s">
        <v>80</v>
      </c>
      <c r="C452" s="8">
        <v>22.0</v>
      </c>
      <c r="D452" s="55">
        <v>0.93</v>
      </c>
      <c r="E452" s="21">
        <v>1.49</v>
      </c>
      <c r="F452" s="8">
        <v>0.011</v>
      </c>
      <c r="G452" s="21">
        <v>429.716344487999</v>
      </c>
      <c r="H452" s="22">
        <f t="shared" si="1"/>
        <v>0.8558</v>
      </c>
      <c r="I452" s="22">
        <f t="shared" si="2"/>
        <v>1.168497312</v>
      </c>
      <c r="J452" s="22">
        <f t="shared" si="3"/>
        <v>0.6241610738</v>
      </c>
      <c r="K452" s="22">
        <f t="shared" si="4"/>
        <v>0.00145249554</v>
      </c>
      <c r="L452" s="22">
        <f t="shared" si="5"/>
        <v>0.1967471231</v>
      </c>
      <c r="M452" s="22">
        <f t="shared" si="88"/>
        <v>0.8888888889</v>
      </c>
      <c r="N452" s="22">
        <f t="shared" si="89"/>
        <v>0.8734057337</v>
      </c>
      <c r="O452" s="22">
        <f t="shared" si="90"/>
        <v>0.2515846337</v>
      </c>
      <c r="P452" s="22">
        <f t="shared" si="9"/>
        <v>0.9918030355</v>
      </c>
    </row>
    <row r="453">
      <c r="A453" s="18" t="s">
        <v>39</v>
      </c>
      <c r="B453" s="8" t="s">
        <v>80</v>
      </c>
      <c r="C453" s="8">
        <v>23.0</v>
      </c>
      <c r="D453" s="55">
        <v>0.93</v>
      </c>
      <c r="E453" s="21">
        <v>0.78</v>
      </c>
      <c r="F453" s="8">
        <v>0.006</v>
      </c>
      <c r="G453" s="21">
        <v>225.522699995999</v>
      </c>
      <c r="H453" s="22">
        <f t="shared" si="1"/>
        <v>0.4668</v>
      </c>
      <c r="I453" s="22">
        <f t="shared" si="2"/>
        <v>2.142245073</v>
      </c>
      <c r="J453" s="22">
        <f t="shared" si="3"/>
        <v>1.192307692</v>
      </c>
      <c r="K453" s="22">
        <f t="shared" si="4"/>
        <v>0.005286863328</v>
      </c>
      <c r="L453" s="22">
        <f t="shared" si="5"/>
        <v>0.6872922327</v>
      </c>
      <c r="M453" s="22">
        <f t="shared" si="88"/>
        <v>0.3333333333</v>
      </c>
      <c r="N453" s="22">
        <f t="shared" si="89"/>
        <v>0.2742467263</v>
      </c>
      <c r="O453" s="22">
        <f t="shared" si="90"/>
        <v>0.5239985747</v>
      </c>
      <c r="P453" s="22">
        <f t="shared" si="9"/>
        <v>0.9556850448</v>
      </c>
    </row>
    <row r="454">
      <c r="A454" s="18" t="s">
        <v>39</v>
      </c>
      <c r="B454" s="8" t="s">
        <v>80</v>
      </c>
      <c r="C454" s="8">
        <v>24.0</v>
      </c>
      <c r="D454" s="55">
        <v>0.93</v>
      </c>
      <c r="E454" s="21">
        <v>0.92</v>
      </c>
      <c r="F454" s="8">
        <v>0.007</v>
      </c>
      <c r="G454" s="21">
        <v>267.249586619</v>
      </c>
      <c r="H454" s="22">
        <f t="shared" si="1"/>
        <v>0.5446</v>
      </c>
      <c r="I454" s="22">
        <f t="shared" si="2"/>
        <v>1.836210062</v>
      </c>
      <c r="J454" s="22">
        <f t="shared" si="3"/>
        <v>1.010869565</v>
      </c>
      <c r="K454" s="22">
        <f t="shared" si="4"/>
        <v>0.003782492531</v>
      </c>
      <c r="L454" s="22">
        <f t="shared" si="5"/>
        <v>0.4971275897</v>
      </c>
      <c r="M454" s="22">
        <f t="shared" si="88"/>
        <v>0.4444444444</v>
      </c>
      <c r="N454" s="22">
        <f t="shared" si="89"/>
        <v>0.3966846212</v>
      </c>
      <c r="O454" s="22">
        <f t="shared" si="90"/>
        <v>0.441289074</v>
      </c>
      <c r="P454" s="22">
        <f t="shared" si="9"/>
        <v>0.966935507</v>
      </c>
    </row>
    <row r="455">
      <c r="A455" s="18" t="s">
        <v>39</v>
      </c>
      <c r="B455" s="8" t="s">
        <v>80</v>
      </c>
      <c r="C455" s="8">
        <v>25.0</v>
      </c>
      <c r="D455" s="55">
        <v>0.93</v>
      </c>
      <c r="E455" s="21">
        <v>1.06</v>
      </c>
      <c r="F455" s="8">
        <v>0.008</v>
      </c>
      <c r="G455" s="21">
        <v>306.775801941</v>
      </c>
      <c r="H455" s="22">
        <f t="shared" si="1"/>
        <v>0.6224</v>
      </c>
      <c r="I455" s="22">
        <f t="shared" si="2"/>
        <v>1.606683805</v>
      </c>
      <c r="J455" s="22">
        <f t="shared" si="3"/>
        <v>0.8773584906</v>
      </c>
      <c r="K455" s="22">
        <f t="shared" si="4"/>
        <v>0.002859933818</v>
      </c>
      <c r="L455" s="22">
        <f t="shared" si="5"/>
        <v>0.3789412309</v>
      </c>
      <c r="M455" s="22">
        <f t="shared" si="88"/>
        <v>0.5555555556</v>
      </c>
      <c r="N455" s="22">
        <f t="shared" si="89"/>
        <v>0.5126651552</v>
      </c>
      <c r="O455" s="22">
        <f t="shared" si="90"/>
        <v>0.3783502626</v>
      </c>
      <c r="P455" s="22">
        <f t="shared" si="9"/>
        <v>0.9724275998</v>
      </c>
    </row>
    <row r="456">
      <c r="A456" s="18" t="s">
        <v>39</v>
      </c>
      <c r="B456" s="8" t="s">
        <v>80</v>
      </c>
      <c r="C456" s="8">
        <v>26.0</v>
      </c>
      <c r="D456" s="55">
        <v>0.93</v>
      </c>
      <c r="E456" s="21">
        <v>0.93</v>
      </c>
      <c r="F456" s="8">
        <v>0.007</v>
      </c>
      <c r="G456" s="21">
        <v>267.304584693999</v>
      </c>
      <c r="H456" s="22">
        <f t="shared" si="1"/>
        <v>0.5446</v>
      </c>
      <c r="I456" s="22">
        <f t="shared" si="2"/>
        <v>1.836210062</v>
      </c>
      <c r="J456" s="22">
        <f t="shared" si="3"/>
        <v>1</v>
      </c>
      <c r="K456" s="22">
        <f t="shared" si="4"/>
        <v>0.003741050686</v>
      </c>
      <c r="L456" s="22">
        <f t="shared" si="5"/>
        <v>0.4970253055</v>
      </c>
      <c r="M456" s="22">
        <f t="shared" si="88"/>
        <v>0.4444444444</v>
      </c>
      <c r="N456" s="22">
        <f t="shared" si="89"/>
        <v>0.3968460003</v>
      </c>
      <c r="O456" s="22">
        <f t="shared" si="90"/>
        <v>0.4412380914</v>
      </c>
      <c r="P456" s="22">
        <f t="shared" si="9"/>
        <v>0.967047231</v>
      </c>
    </row>
    <row r="457">
      <c r="A457" s="18" t="s">
        <v>39</v>
      </c>
      <c r="B457" s="8" t="s">
        <v>80</v>
      </c>
      <c r="C457" s="8">
        <v>27.0</v>
      </c>
      <c r="D457" s="55">
        <v>0.93</v>
      </c>
      <c r="E457" s="21">
        <v>0.86</v>
      </c>
      <c r="F457" s="8">
        <v>0.006</v>
      </c>
      <c r="G457" s="21">
        <v>248.952815896</v>
      </c>
      <c r="H457" s="22">
        <f t="shared" si="1"/>
        <v>0.4668</v>
      </c>
      <c r="I457" s="22">
        <f t="shared" si="2"/>
        <v>2.142245073</v>
      </c>
      <c r="J457" s="22">
        <f t="shared" si="3"/>
        <v>1.081395349</v>
      </c>
      <c r="K457" s="22">
        <f t="shared" si="4"/>
        <v>0.004343776329</v>
      </c>
      <c r="L457" s="22">
        <f t="shared" si="5"/>
        <v>0.6226079406</v>
      </c>
      <c r="M457" s="22">
        <f t="shared" si="88"/>
        <v>0.3333333333</v>
      </c>
      <c r="N457" s="22">
        <f t="shared" si="89"/>
        <v>0.3429969806</v>
      </c>
      <c r="O457" s="22">
        <f t="shared" si="90"/>
        <v>0.4971742141</v>
      </c>
      <c r="P457" s="22">
        <f t="shared" si="9"/>
        <v>1.007247735</v>
      </c>
    </row>
    <row r="458">
      <c r="A458" s="18" t="s">
        <v>39</v>
      </c>
      <c r="B458" s="8" t="s">
        <v>80</v>
      </c>
      <c r="C458" s="8">
        <v>28.0</v>
      </c>
      <c r="D458" s="55">
        <v>0.93</v>
      </c>
      <c r="E458" s="21">
        <v>0.91</v>
      </c>
      <c r="F458" s="8">
        <v>0.007</v>
      </c>
      <c r="G458" s="21">
        <v>264.940414177</v>
      </c>
      <c r="H458" s="22">
        <f t="shared" si="1"/>
        <v>0.5446</v>
      </c>
      <c r="I458" s="22">
        <f t="shared" si="2"/>
        <v>1.836210062</v>
      </c>
      <c r="J458" s="22">
        <f t="shared" si="3"/>
        <v>1.021978022</v>
      </c>
      <c r="K458" s="22">
        <f t="shared" si="4"/>
        <v>0.00385738818</v>
      </c>
      <c r="L458" s="22">
        <f t="shared" si="5"/>
        <v>0.5014604634</v>
      </c>
      <c r="M458" s="22">
        <f t="shared" si="88"/>
        <v>0.4444444444</v>
      </c>
      <c r="N458" s="22">
        <f t="shared" si="89"/>
        <v>0.3899088889</v>
      </c>
      <c r="O458" s="22">
        <f t="shared" si="90"/>
        <v>0.4434403349</v>
      </c>
      <c r="P458" s="22">
        <f t="shared" si="9"/>
        <v>0.9622446154</v>
      </c>
    </row>
    <row r="459">
      <c r="A459" s="18" t="s">
        <v>39</v>
      </c>
      <c r="B459" s="8" t="s">
        <v>80</v>
      </c>
      <c r="C459" s="8">
        <v>29.0</v>
      </c>
      <c r="D459" s="55">
        <v>0.93</v>
      </c>
      <c r="E459" s="21">
        <v>1.02</v>
      </c>
      <c r="F459" s="8">
        <v>0.007</v>
      </c>
      <c r="G459" s="21">
        <v>296.152910568</v>
      </c>
      <c r="H459" s="22">
        <f t="shared" si="1"/>
        <v>0.5446</v>
      </c>
      <c r="I459" s="22">
        <f t="shared" si="2"/>
        <v>1.836210062</v>
      </c>
      <c r="J459" s="22">
        <f t="shared" si="3"/>
        <v>0.9117647059</v>
      </c>
      <c r="K459" s="22">
        <f t="shared" si="4"/>
        <v>0.003078695746</v>
      </c>
      <c r="L459" s="22">
        <f t="shared" si="5"/>
        <v>0.4486099515</v>
      </c>
      <c r="M459" s="22">
        <f t="shared" si="88"/>
        <v>0.4444444444</v>
      </c>
      <c r="N459" s="22">
        <f t="shared" si="89"/>
        <v>0.4814947382</v>
      </c>
      <c r="O459" s="22">
        <f t="shared" si="90"/>
        <v>0.4160268999</v>
      </c>
      <c r="P459" s="22">
        <f t="shared" si="9"/>
        <v>1.025650203</v>
      </c>
    </row>
    <row r="460">
      <c r="A460" s="18" t="s">
        <v>39</v>
      </c>
      <c r="B460" s="8" t="s">
        <v>80</v>
      </c>
      <c r="C460" s="8">
        <v>30.0</v>
      </c>
      <c r="D460" s="55">
        <v>0.93</v>
      </c>
      <c r="E460" s="21">
        <v>1.02</v>
      </c>
      <c r="F460" s="8">
        <v>0.007</v>
      </c>
      <c r="G460" s="21">
        <v>293.496251104</v>
      </c>
      <c r="H460" s="22">
        <f t="shared" si="1"/>
        <v>0.5446</v>
      </c>
      <c r="I460" s="22">
        <f t="shared" si="2"/>
        <v>1.836210062</v>
      </c>
      <c r="J460" s="22">
        <f t="shared" si="3"/>
        <v>0.9117647059</v>
      </c>
      <c r="K460" s="22">
        <f t="shared" si="4"/>
        <v>0.00310656338</v>
      </c>
      <c r="L460" s="22">
        <f t="shared" si="5"/>
        <v>0.452670664</v>
      </c>
      <c r="M460" s="22">
        <f t="shared" si="88"/>
        <v>0.4444444444</v>
      </c>
      <c r="N460" s="22">
        <f t="shared" si="89"/>
        <v>0.4736993857</v>
      </c>
      <c r="O460" s="22">
        <f t="shared" si="90"/>
        <v>0.4182275362</v>
      </c>
      <c r="P460" s="22">
        <f t="shared" si="9"/>
        <v>1.020253421</v>
      </c>
    </row>
    <row r="461">
      <c r="A461" s="18" t="s">
        <v>39</v>
      </c>
      <c r="B461" s="8" t="s">
        <v>80</v>
      </c>
      <c r="C461" s="8">
        <v>31.0</v>
      </c>
      <c r="D461" s="55">
        <v>0.93</v>
      </c>
      <c r="E461" s="21">
        <v>0.77</v>
      </c>
      <c r="F461" s="8">
        <v>0.006</v>
      </c>
      <c r="G461" s="21">
        <v>228.037597461998</v>
      </c>
      <c r="H461" s="22">
        <f t="shared" si="1"/>
        <v>0.4668</v>
      </c>
      <c r="I461" s="22">
        <f t="shared" si="2"/>
        <v>2.142245073</v>
      </c>
      <c r="J461" s="22">
        <f t="shared" si="3"/>
        <v>1.207792208</v>
      </c>
      <c r="K461" s="22">
        <f t="shared" si="4"/>
        <v>0.005296460852</v>
      </c>
      <c r="L461" s="22">
        <f t="shared" si="5"/>
        <v>0.679712476</v>
      </c>
      <c r="M461" s="22">
        <f t="shared" si="88"/>
        <v>0.3333333333</v>
      </c>
      <c r="N461" s="22">
        <f t="shared" si="89"/>
        <v>0.2816261111</v>
      </c>
      <c r="O461" s="22">
        <f t="shared" si="90"/>
        <v>0.5209814802</v>
      </c>
      <c r="P461" s="22">
        <f t="shared" si="9"/>
        <v>0.9612195833</v>
      </c>
    </row>
    <row r="462">
      <c r="A462" s="18" t="s">
        <v>39</v>
      </c>
      <c r="B462" s="8" t="s">
        <v>80</v>
      </c>
      <c r="C462" s="8">
        <v>32.0</v>
      </c>
      <c r="D462" s="55">
        <v>0.93</v>
      </c>
      <c r="E462" s="21">
        <v>0.82</v>
      </c>
      <c r="F462" s="8">
        <v>0.006</v>
      </c>
      <c r="G462" s="21">
        <v>240.209667922001</v>
      </c>
      <c r="H462" s="22">
        <f t="shared" si="1"/>
        <v>0.4668</v>
      </c>
      <c r="I462" s="22">
        <f t="shared" si="2"/>
        <v>2.142245073</v>
      </c>
      <c r="J462" s="22">
        <f t="shared" si="3"/>
        <v>1.134146341</v>
      </c>
      <c r="K462" s="22">
        <f t="shared" si="4"/>
        <v>0.00472148499</v>
      </c>
      <c r="L462" s="22">
        <f t="shared" si="5"/>
        <v>0.6452696153</v>
      </c>
      <c r="M462" s="22">
        <f t="shared" si="88"/>
        <v>0.3333333333</v>
      </c>
      <c r="N462" s="22">
        <f t="shared" si="89"/>
        <v>0.3173422357</v>
      </c>
      <c r="O462" s="22">
        <f t="shared" si="90"/>
        <v>0.5068564951</v>
      </c>
      <c r="P462" s="22">
        <f t="shared" si="9"/>
        <v>0.9880066768</v>
      </c>
    </row>
    <row r="463">
      <c r="A463" s="18" t="s">
        <v>39</v>
      </c>
      <c r="B463" s="8" t="s">
        <v>80</v>
      </c>
      <c r="C463" s="8">
        <v>33.0</v>
      </c>
      <c r="D463" s="55">
        <v>0.93</v>
      </c>
      <c r="E463" s="21">
        <v>0.77</v>
      </c>
      <c r="F463" s="8">
        <v>0.006</v>
      </c>
      <c r="G463" s="21">
        <v>221.728098568</v>
      </c>
      <c r="H463" s="22">
        <f t="shared" si="1"/>
        <v>0.4668</v>
      </c>
      <c r="I463" s="22">
        <f t="shared" si="2"/>
        <v>2.142245073</v>
      </c>
      <c r="J463" s="22">
        <f t="shared" si="3"/>
        <v>1.207792208</v>
      </c>
      <c r="K463" s="22">
        <f t="shared" si="4"/>
        <v>0.005447177041</v>
      </c>
      <c r="L463" s="22">
        <f t="shared" si="5"/>
        <v>0.6990543869</v>
      </c>
      <c r="M463" s="22">
        <f t="shared" si="88"/>
        <v>0.3333333333</v>
      </c>
      <c r="N463" s="22">
        <f t="shared" si="89"/>
        <v>0.2631123464</v>
      </c>
      <c r="O463" s="22">
        <f t="shared" si="90"/>
        <v>0.5286176407</v>
      </c>
      <c r="P463" s="22">
        <f t="shared" si="9"/>
        <v>0.9473342598</v>
      </c>
    </row>
    <row r="464">
      <c r="A464" s="18" t="s">
        <v>39</v>
      </c>
      <c r="B464" s="8" t="s">
        <v>92</v>
      </c>
      <c r="C464" s="8">
        <v>1.0</v>
      </c>
      <c r="D464" s="55">
        <v>0.93</v>
      </c>
      <c r="E464" s="21">
        <v>2.41</v>
      </c>
      <c r="F464" s="8">
        <v>0.005</v>
      </c>
      <c r="G464" s="21">
        <v>219.591122397999</v>
      </c>
      <c r="H464" s="22">
        <f t="shared" si="1"/>
        <v>0.389</v>
      </c>
      <c r="I464" s="22">
        <f t="shared" si="2"/>
        <v>2.570694087</v>
      </c>
      <c r="J464" s="22">
        <f t="shared" si="3"/>
        <v>0.3858921162</v>
      </c>
      <c r="K464" s="22">
        <f t="shared" si="4"/>
        <v>0.001757321116</v>
      </c>
      <c r="L464" s="22">
        <f t="shared" si="5"/>
        <v>0.8470287777</v>
      </c>
      <c r="M464" s="22">
        <f t="shared" si="88"/>
        <v>0.2222222222</v>
      </c>
      <c r="N464" s="22">
        <f t="shared" si="89"/>
        <v>0.2568418842</v>
      </c>
      <c r="O464" s="22">
        <f t="shared" si="90"/>
        <v>0.5795508511</v>
      </c>
      <c r="P464" s="22">
        <f t="shared" si="9"/>
        <v>1.028325178</v>
      </c>
    </row>
    <row r="465">
      <c r="A465" s="18" t="s">
        <v>39</v>
      </c>
      <c r="B465" s="8" t="s">
        <v>92</v>
      </c>
      <c r="C465" s="8">
        <v>2.0</v>
      </c>
      <c r="D465" s="55">
        <v>0.93</v>
      </c>
      <c r="E465" s="21">
        <v>1.84</v>
      </c>
      <c r="F465" s="8">
        <v>0.004</v>
      </c>
      <c r="G465" s="21">
        <v>165.855257797999</v>
      </c>
      <c r="H465" s="22">
        <f t="shared" si="1"/>
        <v>0.3112</v>
      </c>
      <c r="I465" s="22">
        <f t="shared" si="2"/>
        <v>3.213367609</v>
      </c>
      <c r="J465" s="22">
        <f t="shared" si="3"/>
        <v>0.5054347826</v>
      </c>
      <c r="K465" s="22">
        <f t="shared" si="4"/>
        <v>0.003047445039</v>
      </c>
      <c r="L465" s="22">
        <f t="shared" si="5"/>
        <v>1.401824718</v>
      </c>
      <c r="M465" s="22">
        <f t="shared" si="88"/>
        <v>0.1111111111</v>
      </c>
      <c r="N465" s="22">
        <f t="shared" si="89"/>
        <v>0.09916642191</v>
      </c>
      <c r="O465" s="22">
        <f t="shared" si="90"/>
        <v>0.7289561855</v>
      </c>
      <c r="P465" s="22">
        <f t="shared" si="9"/>
        <v>0.9892497797</v>
      </c>
    </row>
    <row r="466">
      <c r="A466" s="18" t="s">
        <v>39</v>
      </c>
      <c r="B466" s="8" t="s">
        <v>92</v>
      </c>
      <c r="C466" s="8">
        <v>3.0</v>
      </c>
      <c r="D466" s="55">
        <v>0.93</v>
      </c>
      <c r="E466" s="21">
        <v>2.02</v>
      </c>
      <c r="F466" s="8">
        <v>0.004</v>
      </c>
      <c r="G466" s="21">
        <v>184.692479697</v>
      </c>
      <c r="H466" s="22">
        <f t="shared" si="1"/>
        <v>0.3112</v>
      </c>
      <c r="I466" s="22">
        <f t="shared" si="2"/>
        <v>3.213367609</v>
      </c>
      <c r="J466" s="22">
        <f t="shared" si="3"/>
        <v>0.4603960396</v>
      </c>
      <c r="K466" s="22">
        <f t="shared" si="4"/>
        <v>0.002492770904</v>
      </c>
      <c r="L466" s="22">
        <f t="shared" si="5"/>
        <v>1.258849307</v>
      </c>
      <c r="M466" s="22">
        <f t="shared" si="88"/>
        <v>0.1111111111</v>
      </c>
      <c r="N466" s="22">
        <f t="shared" si="89"/>
        <v>0.1544398914</v>
      </c>
      <c r="O466" s="22">
        <f t="shared" si="90"/>
        <v>0.6940544658</v>
      </c>
      <c r="P466" s="22">
        <f t="shared" si="9"/>
        <v>1.038995902</v>
      </c>
    </row>
    <row r="467">
      <c r="A467" s="18" t="s">
        <v>39</v>
      </c>
      <c r="B467" s="8" t="s">
        <v>92</v>
      </c>
      <c r="C467" s="8">
        <v>4.0</v>
      </c>
      <c r="D467" s="55">
        <v>0.93</v>
      </c>
      <c r="E467" s="21">
        <v>3.27</v>
      </c>
      <c r="F467" s="8">
        <v>0.007</v>
      </c>
      <c r="G467" s="21">
        <v>297.842434933</v>
      </c>
      <c r="H467" s="22">
        <f t="shared" si="1"/>
        <v>0.5446</v>
      </c>
      <c r="I467" s="22">
        <f t="shared" si="2"/>
        <v>1.836210062</v>
      </c>
      <c r="J467" s="22">
        <f t="shared" si="3"/>
        <v>0.2844036697</v>
      </c>
      <c r="K467" s="22">
        <f t="shared" si="4"/>
        <v>0.0009548796154</v>
      </c>
      <c r="L467" s="22">
        <f t="shared" si="5"/>
        <v>0.4460651918</v>
      </c>
      <c r="M467" s="22">
        <f t="shared" si="88"/>
        <v>0.4444444444</v>
      </c>
      <c r="N467" s="22">
        <f t="shared" si="89"/>
        <v>0.4864522566</v>
      </c>
      <c r="O467" s="22">
        <f t="shared" si="90"/>
        <v>0.4146393942</v>
      </c>
      <c r="P467" s="22">
        <f t="shared" si="9"/>
        <v>1.029082331</v>
      </c>
    </row>
    <row r="468">
      <c r="A468" s="18" t="s">
        <v>39</v>
      </c>
      <c r="B468" s="8" t="s">
        <v>92</v>
      </c>
      <c r="C468" s="8">
        <v>5.0</v>
      </c>
      <c r="D468" s="55">
        <v>0.93</v>
      </c>
      <c r="E468" s="21">
        <v>2.02</v>
      </c>
      <c r="F468" s="8">
        <v>0.004</v>
      </c>
      <c r="G468" s="21">
        <v>184.899645572999</v>
      </c>
      <c r="H468" s="22">
        <f t="shared" si="1"/>
        <v>0.3112</v>
      </c>
      <c r="I468" s="22">
        <f t="shared" si="2"/>
        <v>3.213367609</v>
      </c>
      <c r="J468" s="22">
        <f t="shared" si="3"/>
        <v>0.4603960396</v>
      </c>
      <c r="K468" s="22">
        <f t="shared" si="4"/>
        <v>0.002489977945</v>
      </c>
      <c r="L468" s="22">
        <f t="shared" si="5"/>
        <v>1.257438862</v>
      </c>
      <c r="M468" s="22">
        <f t="shared" si="88"/>
        <v>0.1111111111</v>
      </c>
      <c r="N468" s="22">
        <f t="shared" si="89"/>
        <v>0.1550477717</v>
      </c>
      <c r="O468" s="22">
        <f t="shared" si="90"/>
        <v>0.6936891977</v>
      </c>
      <c r="P468" s="22">
        <f t="shared" si="9"/>
        <v>1.039542995</v>
      </c>
    </row>
    <row r="469">
      <c r="A469" s="18" t="s">
        <v>39</v>
      </c>
      <c r="B469" s="8" t="s">
        <v>92</v>
      </c>
      <c r="C469" s="8">
        <v>6.0</v>
      </c>
      <c r="D469" s="55">
        <v>0.93</v>
      </c>
      <c r="E469" s="21">
        <v>2.01</v>
      </c>
      <c r="F469" s="8">
        <v>0.004</v>
      </c>
      <c r="G469" s="21">
        <v>183.755260622999</v>
      </c>
      <c r="H469" s="22">
        <f t="shared" si="1"/>
        <v>0.3112</v>
      </c>
      <c r="I469" s="22">
        <f t="shared" si="2"/>
        <v>3.213367609</v>
      </c>
      <c r="J469" s="22">
        <f t="shared" si="3"/>
        <v>0.4626865672</v>
      </c>
      <c r="K469" s="22">
        <f t="shared" si="4"/>
        <v>0.002517950047</v>
      </c>
      <c r="L469" s="22">
        <f t="shared" si="5"/>
        <v>1.265269899</v>
      </c>
      <c r="M469" s="22">
        <f t="shared" si="88"/>
        <v>0.1111111111</v>
      </c>
      <c r="N469" s="22">
        <f t="shared" si="89"/>
        <v>0.1516898388</v>
      </c>
      <c r="O469" s="22">
        <f t="shared" si="90"/>
        <v>0.6957117577</v>
      </c>
      <c r="P469" s="22">
        <f t="shared" si="9"/>
        <v>1.036520855</v>
      </c>
    </row>
    <row r="470">
      <c r="A470" s="18" t="s">
        <v>39</v>
      </c>
      <c r="B470" s="8" t="s">
        <v>92</v>
      </c>
      <c r="C470" s="8">
        <v>7.0</v>
      </c>
      <c r="D470" s="55">
        <v>0.93</v>
      </c>
      <c r="E470" s="21">
        <v>2.64</v>
      </c>
      <c r="F470" s="8">
        <v>0.006</v>
      </c>
      <c r="G470" s="21">
        <v>240.94472086</v>
      </c>
      <c r="H470" s="22">
        <f t="shared" si="1"/>
        <v>0.4668</v>
      </c>
      <c r="I470" s="22">
        <f t="shared" si="2"/>
        <v>2.142245073</v>
      </c>
      <c r="J470" s="22">
        <f t="shared" si="3"/>
        <v>0.3522727273</v>
      </c>
      <c r="K470" s="22">
        <f t="shared" si="4"/>
        <v>0.001462047917</v>
      </c>
      <c r="L470" s="22">
        <f t="shared" si="5"/>
        <v>0.6433010835</v>
      </c>
      <c r="M470" s="22">
        <f t="shared" si="88"/>
        <v>0.3333333333</v>
      </c>
      <c r="N470" s="22">
        <f t="shared" si="89"/>
        <v>0.3194990785</v>
      </c>
      <c r="O470" s="22">
        <f t="shared" si="90"/>
        <v>0.5060279915</v>
      </c>
      <c r="P470" s="22">
        <f t="shared" si="9"/>
        <v>0.9896243089</v>
      </c>
    </row>
    <row r="471">
      <c r="A471" s="18" t="s">
        <v>39</v>
      </c>
      <c r="B471" s="8" t="s">
        <v>92</v>
      </c>
      <c r="C471" s="8">
        <v>8.0</v>
      </c>
      <c r="D471" s="55">
        <v>0.93</v>
      </c>
      <c r="E471" s="21">
        <v>0.01</v>
      </c>
      <c r="F471" s="8">
        <v>0.003</v>
      </c>
      <c r="G471" s="21">
        <v>133.156080235</v>
      </c>
      <c r="H471" s="22">
        <f t="shared" si="1"/>
        <v>0.2334</v>
      </c>
      <c r="I471" s="22">
        <f t="shared" si="2"/>
        <v>4.284490146</v>
      </c>
      <c r="J471" s="22">
        <f t="shared" si="3"/>
        <v>93</v>
      </c>
      <c r="K471" s="22">
        <f t="shared" si="4"/>
        <v>0.6984284896</v>
      </c>
      <c r="L471" s="22">
        <f t="shared" si="5"/>
        <v>2.328094965</v>
      </c>
      <c r="M471" s="22">
        <f t="shared" si="88"/>
        <v>0</v>
      </c>
      <c r="N471" s="22">
        <f t="shared" si="89"/>
        <v>0.003218250653</v>
      </c>
      <c r="O471" s="22">
        <f t="shared" si="90"/>
        <v>0.8874153661</v>
      </c>
      <c r="P471" s="22">
        <f t="shared" si="9"/>
        <v>1.003218251</v>
      </c>
    </row>
    <row r="472">
      <c r="A472" s="18" t="s">
        <v>39</v>
      </c>
      <c r="B472" s="8" t="s">
        <v>92</v>
      </c>
      <c r="C472" s="8">
        <v>9.0</v>
      </c>
      <c r="D472" s="55">
        <v>0.93</v>
      </c>
      <c r="E472" s="21">
        <v>2.19</v>
      </c>
      <c r="F472" s="8">
        <v>0.005</v>
      </c>
      <c r="G472" s="21">
        <v>200.257644807</v>
      </c>
      <c r="H472" s="22">
        <f t="shared" si="1"/>
        <v>0.389</v>
      </c>
      <c r="I472" s="22">
        <f t="shared" si="2"/>
        <v>2.570694087</v>
      </c>
      <c r="J472" s="22">
        <f t="shared" si="3"/>
        <v>0.4246575342</v>
      </c>
      <c r="K472" s="22">
        <f t="shared" si="4"/>
        <v>0.00212055592</v>
      </c>
      <c r="L472" s="22">
        <f t="shared" si="5"/>
        <v>0.928803493</v>
      </c>
      <c r="M472" s="22">
        <f t="shared" si="88"/>
        <v>0.2222222222</v>
      </c>
      <c r="N472" s="22">
        <f t="shared" si="89"/>
        <v>0.2001122672</v>
      </c>
      <c r="O472" s="22">
        <f t="shared" si="90"/>
        <v>0.6069463696</v>
      </c>
      <c r="P472" s="22">
        <f t="shared" si="9"/>
        <v>0.9819100368</v>
      </c>
    </row>
    <row r="473">
      <c r="A473" s="18" t="s">
        <v>39</v>
      </c>
      <c r="B473" s="8" t="s">
        <v>92</v>
      </c>
      <c r="C473" s="8">
        <v>10.0</v>
      </c>
      <c r="D473" s="55">
        <v>0.93</v>
      </c>
      <c r="E473" s="21">
        <v>1.58</v>
      </c>
      <c r="F473" s="8">
        <v>0.003</v>
      </c>
      <c r="G473" s="21">
        <v>144.565011885</v>
      </c>
      <c r="H473" s="22">
        <f t="shared" si="1"/>
        <v>0.2334</v>
      </c>
      <c r="I473" s="22">
        <f t="shared" si="2"/>
        <v>4.284490146</v>
      </c>
      <c r="J473" s="22">
        <f t="shared" si="3"/>
        <v>0.5886075949</v>
      </c>
      <c r="K473" s="22">
        <f t="shared" si="4"/>
        <v>0.004071577121</v>
      </c>
      <c r="L473" s="22">
        <f t="shared" si="5"/>
        <v>2.144363951</v>
      </c>
      <c r="M473" s="22">
        <f t="shared" si="88"/>
        <v>0</v>
      </c>
      <c r="N473" s="22">
        <f t="shared" si="89"/>
        <v>0.036695121</v>
      </c>
      <c r="O473" s="22">
        <f t="shared" si="90"/>
        <v>0.8587590249</v>
      </c>
      <c r="P473" s="22">
        <f t="shared" si="9"/>
        <v>1.036695121</v>
      </c>
    </row>
    <row r="474">
      <c r="A474" s="18" t="s">
        <v>39</v>
      </c>
      <c r="B474" s="8" t="s">
        <v>92</v>
      </c>
      <c r="C474" s="8">
        <v>11.0</v>
      </c>
      <c r="D474" s="55">
        <v>0.93</v>
      </c>
      <c r="E474" s="21">
        <v>2.07</v>
      </c>
      <c r="F474" s="8">
        <v>0.004</v>
      </c>
      <c r="G474" s="21">
        <v>189.762686224999</v>
      </c>
      <c r="H474" s="22">
        <f t="shared" si="1"/>
        <v>0.3112</v>
      </c>
      <c r="I474" s="22">
        <f t="shared" si="2"/>
        <v>3.213367609</v>
      </c>
      <c r="J474" s="22">
        <f t="shared" si="3"/>
        <v>0.4492753623</v>
      </c>
      <c r="K474" s="22">
        <f t="shared" si="4"/>
        <v>0.002367564305</v>
      </c>
      <c r="L474" s="22">
        <f t="shared" si="5"/>
        <v>1.225214528</v>
      </c>
      <c r="M474" s="22">
        <f t="shared" si="88"/>
        <v>0.1111111111</v>
      </c>
      <c r="N474" s="22">
        <f t="shared" si="89"/>
        <v>0.1693172394</v>
      </c>
      <c r="O474" s="22">
        <f t="shared" si="90"/>
        <v>0.6852239368</v>
      </c>
      <c r="P474" s="22">
        <f t="shared" si="9"/>
        <v>1.052385515</v>
      </c>
    </row>
    <row r="475">
      <c r="A475" s="18" t="s">
        <v>39</v>
      </c>
      <c r="B475" s="8" t="s">
        <v>92</v>
      </c>
      <c r="C475" s="8">
        <v>12.0</v>
      </c>
      <c r="D475" s="55">
        <v>0.93</v>
      </c>
      <c r="E475" s="21">
        <v>1.67</v>
      </c>
      <c r="F475" s="8">
        <v>0.004</v>
      </c>
      <c r="G475" s="21">
        <v>153.133626758999</v>
      </c>
      <c r="H475" s="22">
        <f t="shared" si="1"/>
        <v>0.3112</v>
      </c>
      <c r="I475" s="22">
        <f t="shared" si="2"/>
        <v>3.213367609</v>
      </c>
      <c r="J475" s="22">
        <f t="shared" si="3"/>
        <v>0.5568862275</v>
      </c>
      <c r="K475" s="22">
        <f t="shared" si="4"/>
        <v>0.003636603138</v>
      </c>
      <c r="L475" s="22">
        <f t="shared" si="5"/>
        <v>1.51828181</v>
      </c>
      <c r="M475" s="22">
        <f t="shared" si="88"/>
        <v>0.1111111111</v>
      </c>
      <c r="N475" s="22">
        <f t="shared" si="89"/>
        <v>0.06183773891</v>
      </c>
      <c r="O475" s="22">
        <f t="shared" si="90"/>
        <v>0.7545824873</v>
      </c>
      <c r="P475" s="22">
        <f t="shared" si="9"/>
        <v>0.955653965</v>
      </c>
    </row>
    <row r="476">
      <c r="A476" s="18" t="s">
        <v>39</v>
      </c>
      <c r="B476" s="8" t="s">
        <v>92</v>
      </c>
      <c r="C476" s="8">
        <v>13.0</v>
      </c>
      <c r="D476" s="55">
        <v>0.93</v>
      </c>
      <c r="E476" s="21">
        <v>1.88</v>
      </c>
      <c r="F476" s="8">
        <v>0.004</v>
      </c>
      <c r="G476" s="21">
        <v>172.043430695</v>
      </c>
      <c r="H476" s="22">
        <f t="shared" si="1"/>
        <v>0.3112</v>
      </c>
      <c r="I476" s="22">
        <f t="shared" si="2"/>
        <v>3.213367609</v>
      </c>
      <c r="J476" s="22">
        <f t="shared" si="3"/>
        <v>0.4946808511</v>
      </c>
      <c r="K476" s="22">
        <f t="shared" si="4"/>
        <v>0.002875325428</v>
      </c>
      <c r="L476" s="22">
        <f t="shared" si="5"/>
        <v>1.351402951</v>
      </c>
      <c r="M476" s="22">
        <f t="shared" si="88"/>
        <v>0.1111111111</v>
      </c>
      <c r="N476" s="22">
        <f t="shared" si="89"/>
        <v>0.1173241836</v>
      </c>
      <c r="O476" s="22">
        <f t="shared" si="90"/>
        <v>0.7171098361</v>
      </c>
      <c r="P476" s="22">
        <f t="shared" si="9"/>
        <v>1.005591765</v>
      </c>
    </row>
    <row r="477">
      <c r="A477" s="18" t="s">
        <v>39</v>
      </c>
      <c r="B477" s="8" t="s">
        <v>92</v>
      </c>
      <c r="C477" s="8">
        <v>14.0</v>
      </c>
      <c r="D477" s="55">
        <v>0.93</v>
      </c>
      <c r="E477" s="21">
        <v>1.98</v>
      </c>
      <c r="F477" s="8">
        <v>0.004</v>
      </c>
      <c r="G477" s="21">
        <v>181.395068531</v>
      </c>
      <c r="H477" s="22">
        <f t="shared" si="1"/>
        <v>0.3112</v>
      </c>
      <c r="I477" s="22">
        <f t="shared" si="2"/>
        <v>3.213367609</v>
      </c>
      <c r="J477" s="22">
        <f t="shared" si="3"/>
        <v>0.4696969697</v>
      </c>
      <c r="K477" s="22">
        <f t="shared" si="4"/>
        <v>0.002589359091</v>
      </c>
      <c r="L477" s="22">
        <f t="shared" si="5"/>
        <v>1.28173275</v>
      </c>
      <c r="M477" s="22">
        <f t="shared" si="88"/>
        <v>0.1111111111</v>
      </c>
      <c r="N477" s="22">
        <f t="shared" si="89"/>
        <v>0.1447644012</v>
      </c>
      <c r="O477" s="22">
        <f t="shared" si="90"/>
        <v>0.6999205786</v>
      </c>
      <c r="P477" s="22">
        <f t="shared" si="9"/>
        <v>1.030287961</v>
      </c>
    </row>
    <row r="478">
      <c r="A478" s="18" t="s">
        <v>39</v>
      </c>
      <c r="B478" s="8" t="s">
        <v>92</v>
      </c>
      <c r="C478" s="8">
        <v>15.0</v>
      </c>
      <c r="D478" s="55">
        <v>0.93</v>
      </c>
      <c r="E478" s="21">
        <v>2.18</v>
      </c>
      <c r="F478" s="8">
        <v>0.005</v>
      </c>
      <c r="G478" s="21">
        <v>199.191113114</v>
      </c>
      <c r="H478" s="22">
        <f t="shared" si="1"/>
        <v>0.389</v>
      </c>
      <c r="I478" s="22">
        <f t="shared" si="2"/>
        <v>2.570694087</v>
      </c>
      <c r="J478" s="22">
        <f t="shared" si="3"/>
        <v>0.4266055046</v>
      </c>
      <c r="K478" s="22">
        <f t="shared" si="4"/>
        <v>0.002141689445</v>
      </c>
      <c r="L478" s="22">
        <f t="shared" si="5"/>
        <v>0.9337765982</v>
      </c>
      <c r="M478" s="22">
        <f t="shared" si="88"/>
        <v>0.2222222222</v>
      </c>
      <c r="N478" s="22">
        <f t="shared" si="89"/>
        <v>0.1969827767</v>
      </c>
      <c r="O478" s="22">
        <f t="shared" si="90"/>
        <v>0.6085332203</v>
      </c>
      <c r="P478" s="22">
        <f t="shared" si="9"/>
        <v>0.9793495446</v>
      </c>
    </row>
    <row r="479">
      <c r="A479" s="18" t="s">
        <v>39</v>
      </c>
      <c r="B479" s="8" t="s">
        <v>92</v>
      </c>
      <c r="C479" s="8">
        <v>16.0</v>
      </c>
      <c r="D479" s="55">
        <v>0.93</v>
      </c>
      <c r="E479" s="21">
        <v>1.55</v>
      </c>
      <c r="F479" s="8">
        <v>0.003</v>
      </c>
      <c r="G479" s="21">
        <v>141.993377858999</v>
      </c>
      <c r="H479" s="22">
        <f t="shared" si="1"/>
        <v>0.2334</v>
      </c>
      <c r="I479" s="22">
        <f t="shared" si="2"/>
        <v>4.284490146</v>
      </c>
      <c r="J479" s="22">
        <f t="shared" si="3"/>
        <v>0.6</v>
      </c>
      <c r="K479" s="22">
        <f t="shared" si="4"/>
        <v>0.00422554917</v>
      </c>
      <c r="L479" s="22">
        <f t="shared" si="5"/>
        <v>2.183200405</v>
      </c>
      <c r="M479" s="22">
        <f t="shared" si="88"/>
        <v>0</v>
      </c>
      <c r="N479" s="22">
        <f t="shared" si="89"/>
        <v>0.02914925593</v>
      </c>
      <c r="O479" s="22">
        <f t="shared" si="90"/>
        <v>0.8650555652</v>
      </c>
      <c r="P479" s="22">
        <f t="shared" si="9"/>
        <v>1.029149256</v>
      </c>
    </row>
    <row r="480">
      <c r="A480" s="18" t="s">
        <v>39</v>
      </c>
      <c r="B480" s="8" t="s">
        <v>92</v>
      </c>
      <c r="C480" s="8">
        <v>17.0</v>
      </c>
      <c r="D480" s="55">
        <v>0.93</v>
      </c>
      <c r="E480" s="21">
        <v>1.95</v>
      </c>
      <c r="F480" s="8">
        <v>0.004</v>
      </c>
      <c r="G480" s="21">
        <v>178.421043706</v>
      </c>
      <c r="H480" s="22">
        <f t="shared" si="1"/>
        <v>0.3112</v>
      </c>
      <c r="I480" s="22">
        <f t="shared" si="2"/>
        <v>3.213367609</v>
      </c>
      <c r="J480" s="22">
        <f t="shared" si="3"/>
        <v>0.4769230769</v>
      </c>
      <c r="K480" s="22">
        <f t="shared" si="4"/>
        <v>0.002673020329</v>
      </c>
      <c r="L480" s="22">
        <f t="shared" si="5"/>
        <v>1.30309741</v>
      </c>
      <c r="M480" s="22">
        <f t="shared" si="88"/>
        <v>0.1111111111</v>
      </c>
      <c r="N480" s="22">
        <f t="shared" si="89"/>
        <v>0.1360378134</v>
      </c>
      <c r="O480" s="22">
        <f t="shared" si="90"/>
        <v>0.7052970884</v>
      </c>
      <c r="P480" s="22">
        <f t="shared" si="9"/>
        <v>1.022434032</v>
      </c>
    </row>
    <row r="481">
      <c r="A481" s="18" t="s">
        <v>39</v>
      </c>
      <c r="B481" s="8" t="s">
        <v>92</v>
      </c>
      <c r="C481" s="8">
        <v>18.0</v>
      </c>
      <c r="D481" s="55">
        <v>0.93</v>
      </c>
      <c r="E481" s="21">
        <v>2.94</v>
      </c>
      <c r="F481" s="8">
        <v>0.006</v>
      </c>
      <c r="G481" s="21">
        <v>268.819798162</v>
      </c>
      <c r="H481" s="22">
        <f t="shared" si="1"/>
        <v>0.4668</v>
      </c>
      <c r="I481" s="22">
        <f t="shared" si="2"/>
        <v>2.142245073</v>
      </c>
      <c r="J481" s="22">
        <f t="shared" si="3"/>
        <v>0.3163265306</v>
      </c>
      <c r="K481" s="22">
        <f t="shared" si="4"/>
        <v>0.001176723339</v>
      </c>
      <c r="L481" s="22">
        <f t="shared" si="5"/>
        <v>0.5765944363</v>
      </c>
      <c r="M481" s="22">
        <f t="shared" si="88"/>
        <v>0.3333333333</v>
      </c>
      <c r="N481" s="22">
        <f t="shared" si="89"/>
        <v>0.4012920437</v>
      </c>
      <c r="O481" s="22">
        <f t="shared" si="90"/>
        <v>0.4764913006</v>
      </c>
      <c r="P481" s="22">
        <f t="shared" si="9"/>
        <v>1.050969033</v>
      </c>
    </row>
    <row r="482">
      <c r="A482" s="18" t="s">
        <v>39</v>
      </c>
      <c r="B482" s="8" t="s">
        <v>92</v>
      </c>
      <c r="C482" s="8">
        <v>19.0</v>
      </c>
      <c r="D482" s="55">
        <v>0.93</v>
      </c>
      <c r="E482" s="21">
        <v>2.41</v>
      </c>
      <c r="F482" s="8">
        <v>0.005</v>
      </c>
      <c r="G482" s="21">
        <v>219.956076940999</v>
      </c>
      <c r="H482" s="22">
        <f t="shared" si="1"/>
        <v>0.389</v>
      </c>
      <c r="I482" s="22">
        <f t="shared" si="2"/>
        <v>2.570694087</v>
      </c>
      <c r="J482" s="22">
        <f t="shared" si="3"/>
        <v>0.3858921162</v>
      </c>
      <c r="K482" s="22">
        <f t="shared" si="4"/>
        <v>0.001754405341</v>
      </c>
      <c r="L482" s="22">
        <f t="shared" si="5"/>
        <v>0.8456233744</v>
      </c>
      <c r="M482" s="22">
        <f t="shared" si="88"/>
        <v>0.2222222222</v>
      </c>
      <c r="N482" s="22">
        <f t="shared" si="89"/>
        <v>0.2579127589</v>
      </c>
      <c r="O482" s="22">
        <f t="shared" si="90"/>
        <v>0.5790574733</v>
      </c>
      <c r="P482" s="22">
        <f t="shared" si="9"/>
        <v>1.029201348</v>
      </c>
    </row>
    <row r="483">
      <c r="A483" s="18" t="s">
        <v>39</v>
      </c>
      <c r="B483" s="8" t="s">
        <v>92</v>
      </c>
      <c r="C483" s="8">
        <v>20.0</v>
      </c>
      <c r="D483" s="55">
        <v>0.93</v>
      </c>
      <c r="E483" s="21">
        <v>2.01</v>
      </c>
      <c r="F483" s="8">
        <v>0.004</v>
      </c>
      <c r="G483" s="21">
        <v>183.916935022999</v>
      </c>
      <c r="H483" s="22">
        <f t="shared" si="1"/>
        <v>0.3112</v>
      </c>
      <c r="I483" s="22">
        <f t="shared" si="2"/>
        <v>3.213367609</v>
      </c>
      <c r="J483" s="22">
        <f t="shared" si="3"/>
        <v>0.4626865672</v>
      </c>
      <c r="K483" s="22">
        <f t="shared" si="4"/>
        <v>0.002515736613</v>
      </c>
      <c r="L483" s="22">
        <f t="shared" si="5"/>
        <v>1.264157648</v>
      </c>
      <c r="M483" s="22">
        <f t="shared" si="88"/>
        <v>0.1111111111</v>
      </c>
      <c r="N483" s="22">
        <f t="shared" si="89"/>
        <v>0.152164235</v>
      </c>
      <c r="O483" s="22">
        <f t="shared" si="90"/>
        <v>0.6954253029</v>
      </c>
      <c r="P483" s="22">
        <f t="shared" si="9"/>
        <v>1.036947811</v>
      </c>
    </row>
    <row r="484">
      <c r="A484" s="18" t="s">
        <v>39</v>
      </c>
      <c r="B484" s="8" t="s">
        <v>92</v>
      </c>
      <c r="C484" s="8">
        <v>21.0</v>
      </c>
      <c r="D484" s="55">
        <v>0.93</v>
      </c>
      <c r="E484" s="21">
        <v>2.05</v>
      </c>
      <c r="F484" s="8">
        <v>0.004</v>
      </c>
      <c r="G484" s="21">
        <v>187.971677137999</v>
      </c>
      <c r="H484" s="22">
        <f t="shared" si="1"/>
        <v>0.3112</v>
      </c>
      <c r="I484" s="22">
        <f t="shared" si="2"/>
        <v>3.213367609</v>
      </c>
      <c r="J484" s="22">
        <f t="shared" si="3"/>
        <v>0.4536585366</v>
      </c>
      <c r="K484" s="22">
        <f t="shared" si="4"/>
        <v>0.002413440916</v>
      </c>
      <c r="L484" s="22">
        <f t="shared" si="5"/>
        <v>1.236888469</v>
      </c>
      <c r="M484" s="22">
        <f t="shared" si="88"/>
        <v>0.1111111111</v>
      </c>
      <c r="N484" s="22">
        <f t="shared" si="89"/>
        <v>0.1640619376</v>
      </c>
      <c r="O484" s="22">
        <f t="shared" si="90"/>
        <v>0.6883174651</v>
      </c>
      <c r="P484" s="22">
        <f t="shared" si="9"/>
        <v>1.047655744</v>
      </c>
    </row>
    <row r="485">
      <c r="A485" s="18" t="s">
        <v>39</v>
      </c>
      <c r="B485" s="8" t="s">
        <v>92</v>
      </c>
      <c r="C485" s="8">
        <v>22.0</v>
      </c>
      <c r="D485" s="55">
        <v>0.93</v>
      </c>
      <c r="E485" s="21">
        <v>1.91</v>
      </c>
      <c r="F485" s="8">
        <v>0.004</v>
      </c>
      <c r="G485" s="21">
        <v>174.70286102</v>
      </c>
      <c r="H485" s="22">
        <f t="shared" si="1"/>
        <v>0.3112</v>
      </c>
      <c r="I485" s="22">
        <f t="shared" si="2"/>
        <v>3.213367609</v>
      </c>
      <c r="J485" s="22">
        <f t="shared" si="3"/>
        <v>0.4869109948</v>
      </c>
      <c r="K485" s="22">
        <f t="shared" si="4"/>
        <v>0.002787080829</v>
      </c>
      <c r="L485" s="22">
        <f t="shared" si="5"/>
        <v>1.330831096</v>
      </c>
      <c r="M485" s="22">
        <f t="shared" si="88"/>
        <v>0.1111111111</v>
      </c>
      <c r="N485" s="22">
        <f t="shared" si="89"/>
        <v>0.1251276666</v>
      </c>
      <c r="O485" s="22">
        <f t="shared" si="90"/>
        <v>0.7121362188</v>
      </c>
      <c r="P485" s="22">
        <f t="shared" si="9"/>
        <v>1.0126149</v>
      </c>
    </row>
    <row r="486">
      <c r="A486" s="18" t="s">
        <v>39</v>
      </c>
      <c r="B486" s="8" t="s">
        <v>92</v>
      </c>
      <c r="C486" s="8">
        <v>23.0</v>
      </c>
      <c r="D486" s="55">
        <v>0.93</v>
      </c>
      <c r="E486" s="21">
        <v>2.2</v>
      </c>
      <c r="F486" s="8">
        <v>0.005</v>
      </c>
      <c r="G486" s="21">
        <v>200.839796721</v>
      </c>
      <c r="H486" s="22">
        <f t="shared" si="1"/>
        <v>0.389</v>
      </c>
      <c r="I486" s="22">
        <f t="shared" si="2"/>
        <v>2.570694087</v>
      </c>
      <c r="J486" s="22">
        <f t="shared" si="3"/>
        <v>0.4227272727</v>
      </c>
      <c r="K486" s="22">
        <f t="shared" si="4"/>
        <v>0.00210479835</v>
      </c>
      <c r="L486" s="22">
        <f t="shared" si="5"/>
        <v>0.9261112739</v>
      </c>
      <c r="M486" s="22">
        <f t="shared" si="88"/>
        <v>0.2222222222</v>
      </c>
      <c r="N486" s="22">
        <f t="shared" si="89"/>
        <v>0.2018204573</v>
      </c>
      <c r="O486" s="22">
        <f t="shared" si="90"/>
        <v>0.6060836952</v>
      </c>
      <c r="P486" s="22">
        <f t="shared" si="9"/>
        <v>0.9833076469</v>
      </c>
    </row>
    <row r="487">
      <c r="A487" s="18" t="s">
        <v>39</v>
      </c>
      <c r="B487" s="8" t="s">
        <v>92</v>
      </c>
      <c r="C487" s="8">
        <v>24.0</v>
      </c>
      <c r="D487" s="55">
        <v>0.93</v>
      </c>
      <c r="E487" s="21">
        <v>2.22</v>
      </c>
      <c r="F487" s="8">
        <v>0.005</v>
      </c>
      <c r="G487" s="21">
        <v>202.665252592</v>
      </c>
      <c r="H487" s="22">
        <f t="shared" si="1"/>
        <v>0.389</v>
      </c>
      <c r="I487" s="22">
        <f t="shared" si="2"/>
        <v>2.570694087</v>
      </c>
      <c r="J487" s="22">
        <f t="shared" si="3"/>
        <v>0.4189189189</v>
      </c>
      <c r="K487" s="22">
        <f t="shared" si="4"/>
        <v>0.002067048562</v>
      </c>
      <c r="L487" s="22">
        <f t="shared" si="5"/>
        <v>0.9177695615</v>
      </c>
      <c r="M487" s="22">
        <f t="shared" si="88"/>
        <v>0.2222222222</v>
      </c>
      <c r="N487" s="22">
        <f t="shared" si="89"/>
        <v>0.2071768352</v>
      </c>
      <c r="O487" s="22">
        <f t="shared" si="90"/>
        <v>0.6033944344</v>
      </c>
      <c r="P487" s="22">
        <f t="shared" si="9"/>
        <v>0.9876901379</v>
      </c>
    </row>
    <row r="488">
      <c r="A488" s="18" t="s">
        <v>39</v>
      </c>
      <c r="B488" s="8" t="s">
        <v>92</v>
      </c>
      <c r="C488" s="8">
        <v>25.0</v>
      </c>
      <c r="D488" s="55">
        <v>0.93</v>
      </c>
      <c r="E488" s="21">
        <v>3.1</v>
      </c>
      <c r="F488" s="8">
        <v>0.007</v>
      </c>
      <c r="G488" s="21">
        <v>282.203328597</v>
      </c>
      <c r="H488" s="22">
        <f t="shared" si="1"/>
        <v>0.5446</v>
      </c>
      <c r="I488" s="22">
        <f t="shared" si="2"/>
        <v>1.836210062</v>
      </c>
      <c r="J488" s="22">
        <f t="shared" si="3"/>
        <v>0.3</v>
      </c>
      <c r="K488" s="22">
        <f t="shared" si="4"/>
        <v>0.001063063294</v>
      </c>
      <c r="L488" s="22">
        <f t="shared" si="5"/>
        <v>0.4707851729</v>
      </c>
      <c r="M488" s="22">
        <f t="shared" si="88"/>
        <v>0.4444444444</v>
      </c>
      <c r="N488" s="22">
        <f t="shared" si="89"/>
        <v>0.4405629173</v>
      </c>
      <c r="O488" s="22">
        <f t="shared" si="90"/>
        <v>0.4278477918</v>
      </c>
      <c r="P488" s="22">
        <f t="shared" si="9"/>
        <v>0.9973127889</v>
      </c>
    </row>
    <row r="489">
      <c r="A489" s="18" t="s">
        <v>39</v>
      </c>
      <c r="B489" s="8" t="s">
        <v>92</v>
      </c>
      <c r="C489" s="8">
        <v>26.0</v>
      </c>
      <c r="D489" s="55">
        <v>0.93</v>
      </c>
      <c r="E489" s="21">
        <v>3.29</v>
      </c>
      <c r="F489" s="8">
        <v>0.007</v>
      </c>
      <c r="G489" s="21">
        <v>294.548554957999</v>
      </c>
      <c r="H489" s="22">
        <f t="shared" si="1"/>
        <v>0.5446</v>
      </c>
      <c r="I489" s="22">
        <f t="shared" si="2"/>
        <v>1.836210062</v>
      </c>
      <c r="J489" s="22">
        <f t="shared" si="3"/>
        <v>0.282674772</v>
      </c>
      <c r="K489" s="22">
        <f t="shared" si="4"/>
        <v>0.0009596881984</v>
      </c>
      <c r="L489" s="22">
        <f t="shared" si="5"/>
        <v>0.4510534532</v>
      </c>
      <c r="M489" s="22">
        <f t="shared" si="88"/>
        <v>0.4444444444</v>
      </c>
      <c r="N489" s="22">
        <f t="shared" si="89"/>
        <v>0.4767871279</v>
      </c>
      <c r="O489" s="22">
        <f t="shared" si="90"/>
        <v>0.4173530846</v>
      </c>
      <c r="P489" s="22">
        <f t="shared" si="9"/>
        <v>1.022391089</v>
      </c>
    </row>
    <row r="490">
      <c r="A490" s="18" t="s">
        <v>39</v>
      </c>
      <c r="B490" s="8" t="s">
        <v>92</v>
      </c>
      <c r="C490" s="8">
        <v>27.0</v>
      </c>
      <c r="D490" s="55">
        <v>0.93</v>
      </c>
      <c r="E490" s="21">
        <v>1.5</v>
      </c>
      <c r="F490" s="8">
        <v>0.003</v>
      </c>
      <c r="G490" s="21">
        <v>132.059299044</v>
      </c>
      <c r="H490" s="22">
        <f t="shared" si="1"/>
        <v>0.2334</v>
      </c>
      <c r="I490" s="22">
        <f t="shared" si="2"/>
        <v>4.284490146</v>
      </c>
      <c r="J490" s="22">
        <f t="shared" si="3"/>
        <v>0.62</v>
      </c>
      <c r="K490" s="22">
        <f t="shared" si="4"/>
        <v>0.0046948606</v>
      </c>
      <c r="L490" s="22">
        <f t="shared" si="5"/>
        <v>2.3474303</v>
      </c>
      <c r="M490" s="22">
        <f t="shared" si="88"/>
        <v>0</v>
      </c>
      <c r="N490" s="22">
        <f t="shared" si="89"/>
        <v>0</v>
      </c>
      <c r="O490" s="22">
        <f t="shared" si="90"/>
        <v>0.8902712912</v>
      </c>
      <c r="P490" s="22">
        <f t="shared" si="9"/>
        <v>1</v>
      </c>
    </row>
    <row r="491">
      <c r="A491" s="18" t="s">
        <v>39</v>
      </c>
      <c r="B491" s="8" t="s">
        <v>92</v>
      </c>
      <c r="C491" s="8">
        <v>28.0</v>
      </c>
      <c r="D491" s="55">
        <v>0.93</v>
      </c>
      <c r="E491" s="21">
        <v>2.12</v>
      </c>
      <c r="F491" s="8">
        <v>0.005</v>
      </c>
      <c r="G491" s="21">
        <v>186.728481802999</v>
      </c>
      <c r="H491" s="22">
        <f t="shared" si="1"/>
        <v>0.389</v>
      </c>
      <c r="I491" s="22">
        <f t="shared" si="2"/>
        <v>2.570694087</v>
      </c>
      <c r="J491" s="22">
        <f t="shared" si="3"/>
        <v>0.4386792453</v>
      </c>
      <c r="K491" s="22">
        <f t="shared" si="4"/>
        <v>0.002349289412</v>
      </c>
      <c r="L491" s="22">
        <f t="shared" si="5"/>
        <v>0.9960987108</v>
      </c>
      <c r="M491" s="22">
        <f t="shared" si="88"/>
        <v>0.2222222222</v>
      </c>
      <c r="N491" s="22">
        <f t="shared" si="89"/>
        <v>0.1604140685</v>
      </c>
      <c r="O491" s="22">
        <f t="shared" si="90"/>
        <v>0.6277102316</v>
      </c>
      <c r="P491" s="22">
        <f t="shared" si="9"/>
        <v>0.9494296924</v>
      </c>
    </row>
    <row r="492">
      <c r="A492" s="18" t="s">
        <v>39</v>
      </c>
      <c r="B492" s="8" t="s">
        <v>92</v>
      </c>
      <c r="C492" s="8">
        <v>29.0</v>
      </c>
      <c r="D492" s="55">
        <v>0.93</v>
      </c>
      <c r="E492" s="21">
        <v>2.48</v>
      </c>
      <c r="F492" s="8">
        <v>0.005</v>
      </c>
      <c r="G492" s="21">
        <v>216.549890179</v>
      </c>
      <c r="H492" s="22">
        <f t="shared" si="1"/>
        <v>0.389</v>
      </c>
      <c r="I492" s="22">
        <f t="shared" si="2"/>
        <v>2.570694087</v>
      </c>
      <c r="J492" s="22">
        <f t="shared" si="3"/>
        <v>0.375</v>
      </c>
      <c r="K492" s="22">
        <f t="shared" si="4"/>
        <v>0.001731702564</v>
      </c>
      <c r="L492" s="22">
        <f t="shared" si="5"/>
        <v>0.8589244716</v>
      </c>
      <c r="M492" s="22">
        <f t="shared" si="88"/>
        <v>0.2222222222</v>
      </c>
      <c r="N492" s="22">
        <f t="shared" si="89"/>
        <v>0.2479180919</v>
      </c>
      <c r="O492" s="22">
        <f t="shared" si="90"/>
        <v>0.5836951868</v>
      </c>
      <c r="P492" s="22">
        <f t="shared" si="9"/>
        <v>1.021023893</v>
      </c>
    </row>
    <row r="493">
      <c r="A493" s="18" t="s">
        <v>39</v>
      </c>
      <c r="B493" s="8" t="s">
        <v>92</v>
      </c>
      <c r="C493" s="8">
        <v>30.0</v>
      </c>
      <c r="D493" s="55">
        <v>0.93</v>
      </c>
      <c r="E493" s="21">
        <v>3.1</v>
      </c>
      <c r="F493" s="8">
        <v>0.007</v>
      </c>
      <c r="G493" s="21">
        <v>270.68671625</v>
      </c>
      <c r="H493" s="22">
        <f t="shared" si="1"/>
        <v>0.5446</v>
      </c>
      <c r="I493" s="22">
        <f t="shared" si="2"/>
        <v>1.836210062</v>
      </c>
      <c r="J493" s="22">
        <f t="shared" si="3"/>
        <v>0.3</v>
      </c>
      <c r="K493" s="22">
        <f t="shared" si="4"/>
        <v>0.001108292288</v>
      </c>
      <c r="L493" s="22">
        <f t="shared" si="5"/>
        <v>0.490815156</v>
      </c>
      <c r="M493" s="22">
        <f t="shared" si="88"/>
        <v>0.4444444444</v>
      </c>
      <c r="N493" s="22">
        <f t="shared" si="89"/>
        <v>0.4067700829</v>
      </c>
      <c r="O493" s="22">
        <f t="shared" si="90"/>
        <v>0.4381253701</v>
      </c>
      <c r="P493" s="22">
        <f t="shared" si="9"/>
        <v>0.9739177497</v>
      </c>
    </row>
    <row r="494">
      <c r="A494" s="18" t="s">
        <v>39</v>
      </c>
      <c r="B494" s="8" t="s">
        <v>92</v>
      </c>
      <c r="C494" s="8">
        <v>31.0</v>
      </c>
      <c r="D494" s="55">
        <v>0.93</v>
      </c>
      <c r="E494" s="21">
        <v>2.34</v>
      </c>
      <c r="F494" s="8">
        <v>0.005</v>
      </c>
      <c r="G494" s="21">
        <v>204.688827664999</v>
      </c>
      <c r="H494" s="22">
        <f t="shared" si="1"/>
        <v>0.389</v>
      </c>
      <c r="I494" s="22">
        <f t="shared" si="2"/>
        <v>2.570694087</v>
      </c>
      <c r="J494" s="22">
        <f t="shared" si="3"/>
        <v>0.3974358974</v>
      </c>
      <c r="K494" s="22">
        <f t="shared" si="4"/>
        <v>0.001941658966</v>
      </c>
      <c r="L494" s="22">
        <f t="shared" si="5"/>
        <v>0.908696396</v>
      </c>
      <c r="M494" s="22">
        <f t="shared" si="88"/>
        <v>0.2222222222</v>
      </c>
      <c r="N494" s="22">
        <f t="shared" si="89"/>
        <v>0.2131145481</v>
      </c>
      <c r="O494" s="22">
        <f t="shared" si="90"/>
        <v>0.6004410588</v>
      </c>
      <c r="P494" s="22">
        <f t="shared" si="9"/>
        <v>0.9925482666</v>
      </c>
    </row>
    <row r="495">
      <c r="A495" s="18" t="s">
        <v>39</v>
      </c>
      <c r="B495" s="8" t="s">
        <v>92</v>
      </c>
      <c r="C495" s="8">
        <v>32.0</v>
      </c>
      <c r="D495" s="55">
        <v>0.93</v>
      </c>
      <c r="E495" s="21">
        <v>1.87</v>
      </c>
      <c r="F495" s="8">
        <v>0.004</v>
      </c>
      <c r="G495" s="21">
        <v>163.817946846</v>
      </c>
      <c r="H495" s="22">
        <f t="shared" si="1"/>
        <v>0.3112</v>
      </c>
      <c r="I495" s="22">
        <f t="shared" si="2"/>
        <v>3.213367609</v>
      </c>
      <c r="J495" s="22">
        <f t="shared" si="3"/>
        <v>0.4973262032</v>
      </c>
      <c r="K495" s="22">
        <f t="shared" si="4"/>
        <v>0.003035846882</v>
      </c>
      <c r="L495" s="22">
        <f t="shared" si="5"/>
        <v>1.419258418</v>
      </c>
      <c r="M495" s="22">
        <f t="shared" si="88"/>
        <v>0.1111111111</v>
      </c>
      <c r="N495" s="22">
        <f t="shared" si="89"/>
        <v>0.09318840427</v>
      </c>
      <c r="O495" s="22">
        <f t="shared" si="90"/>
        <v>0.7329424269</v>
      </c>
      <c r="P495" s="22">
        <f t="shared" si="9"/>
        <v>0.9838695638</v>
      </c>
    </row>
    <row r="496">
      <c r="A496" s="18" t="s">
        <v>39</v>
      </c>
      <c r="B496" s="8" t="s">
        <v>92</v>
      </c>
      <c r="C496" s="8">
        <v>33.0</v>
      </c>
      <c r="D496" s="55">
        <v>0.93</v>
      </c>
      <c r="E496" s="21">
        <v>1.76</v>
      </c>
      <c r="F496" s="8">
        <v>0.004</v>
      </c>
      <c r="G496" s="21">
        <v>154.648367715999</v>
      </c>
      <c r="H496" s="22">
        <f t="shared" si="1"/>
        <v>0.3112</v>
      </c>
      <c r="I496" s="22">
        <f t="shared" si="2"/>
        <v>3.213367609</v>
      </c>
      <c r="J496" s="22">
        <f t="shared" si="3"/>
        <v>0.5284090909</v>
      </c>
      <c r="K496" s="22">
        <f t="shared" si="4"/>
        <v>0.003416842342</v>
      </c>
      <c r="L496" s="22">
        <f t="shared" si="5"/>
        <v>1.50341063</v>
      </c>
      <c r="M496" s="22">
        <f t="shared" si="88"/>
        <v>0.1111111111</v>
      </c>
      <c r="N496" s="22">
        <f t="shared" si="89"/>
        <v>0.0662823958</v>
      </c>
      <c r="O496" s="22">
        <f t="shared" si="90"/>
        <v>0.7514371102</v>
      </c>
      <c r="P496" s="22">
        <f t="shared" si="9"/>
        <v>0.9596541562</v>
      </c>
    </row>
    <row r="497">
      <c r="A497" s="18" t="s">
        <v>39</v>
      </c>
      <c r="B497" s="8" t="s">
        <v>94</v>
      </c>
      <c r="C497" s="8">
        <v>1.0</v>
      </c>
      <c r="D497" s="55">
        <v>0.93</v>
      </c>
      <c r="E497" s="8">
        <v>0.62</v>
      </c>
      <c r="F497" s="8">
        <v>0.004</v>
      </c>
      <c r="G497" s="21">
        <v>185.703109831</v>
      </c>
      <c r="H497" s="22">
        <f t="shared" si="1"/>
        <v>0.3112</v>
      </c>
      <c r="I497" s="22">
        <f t="shared" si="2"/>
        <v>3.213367609</v>
      </c>
      <c r="J497" s="22">
        <f t="shared" si="3"/>
        <v>1.5</v>
      </c>
      <c r="K497" s="22">
        <f t="shared" si="4"/>
        <v>0.008077409158</v>
      </c>
      <c r="L497" s="22">
        <f t="shared" si="5"/>
        <v>1.251998419</v>
      </c>
      <c r="M497" s="22">
        <f t="shared" si="88"/>
        <v>0.1111111111</v>
      </c>
      <c r="N497" s="22">
        <f t="shared" si="89"/>
        <v>0.1574053517</v>
      </c>
      <c r="O497" s="22">
        <f t="shared" si="90"/>
        <v>0.6922761856</v>
      </c>
      <c r="P497" s="22">
        <f t="shared" si="9"/>
        <v>1.041664817</v>
      </c>
    </row>
    <row r="498">
      <c r="A498" s="18" t="s">
        <v>39</v>
      </c>
      <c r="B498" s="8" t="s">
        <v>94</v>
      </c>
      <c r="C498" s="8">
        <v>2.0</v>
      </c>
      <c r="D498" s="55">
        <v>0.93</v>
      </c>
      <c r="E498" s="8">
        <v>0.64</v>
      </c>
      <c r="F498" s="8">
        <v>0.005</v>
      </c>
      <c r="G498" s="21">
        <v>184.780112547</v>
      </c>
      <c r="H498" s="22">
        <f t="shared" si="1"/>
        <v>0.389</v>
      </c>
      <c r="I498" s="22">
        <f t="shared" si="2"/>
        <v>2.570694087</v>
      </c>
      <c r="J498" s="22">
        <f t="shared" si="3"/>
        <v>1.453125</v>
      </c>
      <c r="K498" s="22">
        <f t="shared" si="4"/>
        <v>0.007864076821</v>
      </c>
      <c r="L498" s="22">
        <f t="shared" si="5"/>
        <v>1.006601833</v>
      </c>
      <c r="M498" s="22">
        <f t="shared" si="88"/>
        <v>0.2222222222</v>
      </c>
      <c r="N498" s="22">
        <f t="shared" si="89"/>
        <v>0.1546970297</v>
      </c>
      <c r="O498" s="22">
        <f t="shared" si="90"/>
        <v>0.6308180977</v>
      </c>
      <c r="P498" s="22">
        <f t="shared" si="9"/>
        <v>0.9447521152</v>
      </c>
    </row>
    <row r="499">
      <c r="A499" s="18" t="s">
        <v>39</v>
      </c>
      <c r="B499" s="8" t="s">
        <v>94</v>
      </c>
      <c r="C499" s="8">
        <v>3.0</v>
      </c>
      <c r="D499" s="55">
        <v>0.93</v>
      </c>
      <c r="E499" s="8">
        <v>0.58</v>
      </c>
      <c r="F499" s="8">
        <v>0.004</v>
      </c>
      <c r="G499" s="21">
        <v>166.649516612</v>
      </c>
      <c r="H499" s="22">
        <f t="shared" si="1"/>
        <v>0.3112</v>
      </c>
      <c r="I499" s="22">
        <f t="shared" si="2"/>
        <v>3.213367609</v>
      </c>
      <c r="J499" s="22">
        <f t="shared" si="3"/>
        <v>1.603448276</v>
      </c>
      <c r="K499" s="22">
        <f t="shared" si="4"/>
        <v>0.009621679729</v>
      </c>
      <c r="L499" s="22">
        <f t="shared" si="5"/>
        <v>1.395143561</v>
      </c>
      <c r="M499" s="22">
        <f t="shared" si="88"/>
        <v>0.1111111111</v>
      </c>
      <c r="N499" s="22">
        <f t="shared" si="89"/>
        <v>0.1014969906</v>
      </c>
      <c r="O499" s="22">
        <f t="shared" si="90"/>
        <v>0.7274138458</v>
      </c>
      <c r="P499" s="22">
        <f t="shared" si="9"/>
        <v>0.9913472916</v>
      </c>
    </row>
    <row r="500">
      <c r="A500" s="18" t="s">
        <v>39</v>
      </c>
      <c r="B500" s="8" t="s">
        <v>94</v>
      </c>
      <c r="C500" s="8">
        <v>4.0</v>
      </c>
      <c r="D500" s="55">
        <v>0.93</v>
      </c>
      <c r="E500" s="8">
        <v>0.62</v>
      </c>
      <c r="F500" s="8">
        <v>0.004</v>
      </c>
      <c r="G500" s="21">
        <v>175.773315352</v>
      </c>
      <c r="H500" s="22">
        <f t="shared" si="1"/>
        <v>0.3112</v>
      </c>
      <c r="I500" s="22">
        <f t="shared" si="2"/>
        <v>3.213367609</v>
      </c>
      <c r="J500" s="22">
        <f t="shared" si="3"/>
        <v>1.5</v>
      </c>
      <c r="K500" s="22">
        <f t="shared" si="4"/>
        <v>0.00853371854</v>
      </c>
      <c r="L500" s="22">
        <f t="shared" si="5"/>
        <v>1.322726374</v>
      </c>
      <c r="M500" s="22">
        <f t="shared" si="88"/>
        <v>0.1111111111</v>
      </c>
      <c r="N500" s="22">
        <f t="shared" si="89"/>
        <v>0.1282686672</v>
      </c>
      <c r="O500" s="22">
        <f t="shared" si="90"/>
        <v>0.7101536943</v>
      </c>
      <c r="P500" s="22">
        <f t="shared" si="9"/>
        <v>1.0154418</v>
      </c>
    </row>
    <row r="501">
      <c r="A501" s="18" t="s">
        <v>39</v>
      </c>
      <c r="B501" s="8" t="s">
        <v>94</v>
      </c>
      <c r="C501" s="8">
        <v>5.0</v>
      </c>
      <c r="D501" s="55">
        <v>0.93</v>
      </c>
      <c r="E501" s="8">
        <v>0.63</v>
      </c>
      <c r="F501" s="8">
        <v>0.005</v>
      </c>
      <c r="G501" s="21">
        <v>180.475902288</v>
      </c>
      <c r="H501" s="22">
        <f t="shared" si="1"/>
        <v>0.389</v>
      </c>
      <c r="I501" s="22">
        <f t="shared" si="2"/>
        <v>2.570694087</v>
      </c>
      <c r="J501" s="22">
        <f t="shared" si="3"/>
        <v>1.476190476</v>
      </c>
      <c r="K501" s="22">
        <f t="shared" si="4"/>
        <v>0.008179432586</v>
      </c>
      <c r="L501" s="22">
        <f t="shared" si="5"/>
        <v>1.030608506</v>
      </c>
      <c r="M501" s="22">
        <f t="shared" si="88"/>
        <v>0.2222222222</v>
      </c>
      <c r="N501" s="22">
        <f t="shared" si="89"/>
        <v>0.1420673205</v>
      </c>
      <c r="O501" s="22">
        <f t="shared" si="90"/>
        <v>0.6377940868</v>
      </c>
      <c r="P501" s="22">
        <f t="shared" si="9"/>
        <v>0.9344187168</v>
      </c>
    </row>
    <row r="502">
      <c r="A502" s="18" t="s">
        <v>39</v>
      </c>
      <c r="B502" s="8" t="s">
        <v>94</v>
      </c>
      <c r="C502" s="8">
        <v>6.0</v>
      </c>
      <c r="D502" s="55">
        <v>0.93</v>
      </c>
      <c r="E502" s="8">
        <v>0.53</v>
      </c>
      <c r="F502" s="8">
        <v>0.004</v>
      </c>
      <c r="G502" s="21">
        <v>152.395500872</v>
      </c>
      <c r="H502" s="22">
        <f t="shared" si="1"/>
        <v>0.3112</v>
      </c>
      <c r="I502" s="22">
        <f t="shared" si="2"/>
        <v>3.213367609</v>
      </c>
      <c r="J502" s="22">
        <f t="shared" si="3"/>
        <v>1.754716981</v>
      </c>
      <c r="K502" s="22">
        <f t="shared" si="4"/>
        <v>0.01151423087</v>
      </c>
      <c r="L502" s="22">
        <f t="shared" si="5"/>
        <v>1.525635591</v>
      </c>
      <c r="M502" s="22">
        <f t="shared" si="88"/>
        <v>0.1111111111</v>
      </c>
      <c r="N502" s="22">
        <f t="shared" si="89"/>
        <v>0.05967187927</v>
      </c>
      <c r="O502" s="22">
        <f t="shared" si="90"/>
        <v>0.7561247758</v>
      </c>
      <c r="P502" s="22">
        <f t="shared" si="9"/>
        <v>0.9537046913</v>
      </c>
    </row>
    <row r="503">
      <c r="A503" s="18" t="s">
        <v>39</v>
      </c>
      <c r="B503" s="8" t="s">
        <v>94</v>
      </c>
      <c r="C503" s="8">
        <v>7.0</v>
      </c>
      <c r="D503" s="55">
        <v>0.93</v>
      </c>
      <c r="E503" s="8">
        <v>0.64</v>
      </c>
      <c r="F503" s="8">
        <v>0.005</v>
      </c>
      <c r="G503" s="21">
        <v>191.678187295</v>
      </c>
      <c r="H503" s="22">
        <f t="shared" si="1"/>
        <v>0.389</v>
      </c>
      <c r="I503" s="22">
        <f t="shared" si="2"/>
        <v>2.570694087</v>
      </c>
      <c r="J503" s="22">
        <f t="shared" si="3"/>
        <v>1.453125</v>
      </c>
      <c r="K503" s="22">
        <f t="shared" si="4"/>
        <v>0.007581066059</v>
      </c>
      <c r="L503" s="22">
        <f t="shared" si="5"/>
        <v>0.9703764556</v>
      </c>
      <c r="M503" s="22">
        <f t="shared" si="88"/>
        <v>0.2222222222</v>
      </c>
      <c r="N503" s="22">
        <f t="shared" si="89"/>
        <v>0.1749378341</v>
      </c>
      <c r="O503" s="22">
        <f t="shared" si="90"/>
        <v>0.6199509136</v>
      </c>
      <c r="P503" s="22">
        <f t="shared" si="9"/>
        <v>0.9613127734</v>
      </c>
    </row>
    <row r="504">
      <c r="A504" s="18" t="s">
        <v>39</v>
      </c>
      <c r="B504" s="8" t="s">
        <v>94</v>
      </c>
      <c r="C504" s="8">
        <v>8.0</v>
      </c>
      <c r="D504" s="55">
        <v>0.93</v>
      </c>
      <c r="E504" s="8">
        <v>0.52</v>
      </c>
      <c r="F504" s="8">
        <v>0.004</v>
      </c>
      <c r="G504" s="21">
        <v>155.79063833</v>
      </c>
      <c r="H504" s="22">
        <f t="shared" si="1"/>
        <v>0.3112</v>
      </c>
      <c r="I504" s="22">
        <f t="shared" si="2"/>
        <v>3.213367609</v>
      </c>
      <c r="J504" s="22">
        <f t="shared" si="3"/>
        <v>1.788461538</v>
      </c>
      <c r="K504" s="22">
        <f t="shared" si="4"/>
        <v>0.01147990378</v>
      </c>
      <c r="L504" s="22">
        <f t="shared" si="5"/>
        <v>1.492387492</v>
      </c>
      <c r="M504" s="22">
        <f t="shared" si="88"/>
        <v>0.1111111111</v>
      </c>
      <c r="N504" s="22">
        <f t="shared" si="89"/>
        <v>0.06963412464</v>
      </c>
      <c r="O504" s="22">
        <f t="shared" si="90"/>
        <v>0.7490824607</v>
      </c>
      <c r="P504" s="22">
        <f t="shared" si="9"/>
        <v>0.9626707122</v>
      </c>
    </row>
    <row r="505">
      <c r="A505" s="18" t="s">
        <v>39</v>
      </c>
      <c r="B505" s="8" t="s">
        <v>94</v>
      </c>
      <c r="C505" s="8">
        <v>9.0</v>
      </c>
      <c r="D505" s="55">
        <v>0.93</v>
      </c>
      <c r="E505" s="8">
        <v>0.55</v>
      </c>
      <c r="F505" s="8">
        <v>0.004</v>
      </c>
      <c r="G505" s="21">
        <v>165.977423439999</v>
      </c>
      <c r="H505" s="22">
        <f t="shared" si="1"/>
        <v>0.3112</v>
      </c>
      <c r="I505" s="22">
        <f t="shared" si="2"/>
        <v>3.213367609</v>
      </c>
      <c r="J505" s="22">
        <f t="shared" si="3"/>
        <v>1.690909091</v>
      </c>
      <c r="K505" s="22">
        <f t="shared" si="4"/>
        <v>0.01018758489</v>
      </c>
      <c r="L505" s="22">
        <f t="shared" si="5"/>
        <v>1.400792922</v>
      </c>
      <c r="M505" s="22">
        <f t="shared" si="88"/>
        <v>0.1111111111</v>
      </c>
      <c r="N505" s="22">
        <f t="shared" si="89"/>
        <v>0.09952488872</v>
      </c>
      <c r="O505" s="22">
        <f t="shared" si="90"/>
        <v>0.7287185314</v>
      </c>
      <c r="P505" s="22">
        <f t="shared" si="9"/>
        <v>0.9895723998</v>
      </c>
    </row>
    <row r="506">
      <c r="A506" s="18" t="s">
        <v>39</v>
      </c>
      <c r="B506" s="8" t="s">
        <v>94</v>
      </c>
      <c r="C506" s="8">
        <v>10.0</v>
      </c>
      <c r="D506" s="55">
        <v>0.93</v>
      </c>
      <c r="E506" s="8">
        <v>0.5</v>
      </c>
      <c r="F506" s="8">
        <v>0.004</v>
      </c>
      <c r="G506" s="21">
        <v>152.449300764999</v>
      </c>
      <c r="H506" s="22">
        <f t="shared" si="1"/>
        <v>0.3112</v>
      </c>
      <c r="I506" s="22">
        <f t="shared" si="2"/>
        <v>3.213367609</v>
      </c>
      <c r="J506" s="22">
        <f t="shared" si="3"/>
        <v>1.86</v>
      </c>
      <c r="K506" s="22">
        <f t="shared" si="4"/>
        <v>0.01220077751</v>
      </c>
      <c r="L506" s="22">
        <f t="shared" si="5"/>
        <v>1.525097189</v>
      </c>
      <c r="M506" s="22">
        <f t="shared" si="88"/>
        <v>0.1111111111</v>
      </c>
      <c r="N506" s="22">
        <f t="shared" si="89"/>
        <v>0.05982974261</v>
      </c>
      <c r="O506" s="22">
        <f t="shared" si="90"/>
        <v>0.7560121498</v>
      </c>
      <c r="P506" s="22">
        <f t="shared" si="9"/>
        <v>0.9538467683</v>
      </c>
    </row>
    <row r="507">
      <c r="A507" s="18" t="s">
        <v>39</v>
      </c>
      <c r="B507" s="8" t="s">
        <v>94</v>
      </c>
      <c r="C507" s="8">
        <v>11.0</v>
      </c>
      <c r="D507" s="55">
        <v>0.93</v>
      </c>
      <c r="E507" s="8">
        <v>0.57</v>
      </c>
      <c r="F507" s="8">
        <v>0.004</v>
      </c>
      <c r="G507" s="21">
        <v>172.489911228999</v>
      </c>
      <c r="H507" s="22">
        <f t="shared" si="1"/>
        <v>0.3112</v>
      </c>
      <c r="I507" s="22">
        <f t="shared" si="2"/>
        <v>3.213367609</v>
      </c>
      <c r="J507" s="22">
        <f t="shared" si="3"/>
        <v>1.631578947</v>
      </c>
      <c r="K507" s="22">
        <f t="shared" si="4"/>
        <v>0.009458981895</v>
      </c>
      <c r="L507" s="22">
        <f t="shared" si="5"/>
        <v>1.34790492</v>
      </c>
      <c r="M507" s="22">
        <f t="shared" si="88"/>
        <v>0.1111111111</v>
      </c>
      <c r="N507" s="22">
        <f t="shared" si="89"/>
        <v>0.1186342774</v>
      </c>
      <c r="O507" s="22">
        <f t="shared" si="90"/>
        <v>0.7162699895</v>
      </c>
      <c r="P507" s="22">
        <f t="shared" si="9"/>
        <v>1.00677085</v>
      </c>
    </row>
    <row r="508">
      <c r="A508" s="18" t="s">
        <v>39</v>
      </c>
      <c r="B508" s="8" t="s">
        <v>94</v>
      </c>
      <c r="C508" s="8">
        <v>12.0</v>
      </c>
      <c r="D508" s="55">
        <v>0.93</v>
      </c>
      <c r="E508" s="8">
        <v>0.55</v>
      </c>
      <c r="F508" s="8">
        <v>0.004</v>
      </c>
      <c r="G508" s="21">
        <v>166.733474235999</v>
      </c>
      <c r="H508" s="22">
        <f t="shared" si="1"/>
        <v>0.3112</v>
      </c>
      <c r="I508" s="22">
        <f t="shared" si="2"/>
        <v>3.213367609</v>
      </c>
      <c r="J508" s="22">
        <f t="shared" si="3"/>
        <v>1.690909091</v>
      </c>
      <c r="K508" s="22">
        <f t="shared" si="4"/>
        <v>0.01014138942</v>
      </c>
      <c r="L508" s="22">
        <f t="shared" si="5"/>
        <v>1.394441045</v>
      </c>
      <c r="M508" s="22">
        <f t="shared" si="88"/>
        <v>0.1111111111</v>
      </c>
      <c r="N508" s="22">
        <f t="shared" si="89"/>
        <v>0.1017433449</v>
      </c>
      <c r="O508" s="22">
        <f t="shared" si="90"/>
        <v>0.7272511932</v>
      </c>
      <c r="P508" s="22">
        <f t="shared" si="9"/>
        <v>0.9915690104</v>
      </c>
    </row>
    <row r="509">
      <c r="A509" s="18" t="s">
        <v>39</v>
      </c>
      <c r="B509" s="8" t="s">
        <v>94</v>
      </c>
      <c r="C509" s="8">
        <v>13.0</v>
      </c>
      <c r="D509" s="55">
        <v>0.93</v>
      </c>
      <c r="E509" s="8">
        <v>0.53</v>
      </c>
      <c r="F509" s="8">
        <v>0.004</v>
      </c>
      <c r="G509" s="21">
        <v>161.933984722</v>
      </c>
      <c r="H509" s="22">
        <f t="shared" si="1"/>
        <v>0.3112</v>
      </c>
      <c r="I509" s="22">
        <f t="shared" si="2"/>
        <v>3.213367609</v>
      </c>
      <c r="J509" s="22">
        <f t="shared" si="3"/>
        <v>1.754716981</v>
      </c>
      <c r="K509" s="22">
        <f t="shared" si="4"/>
        <v>0.01083600199</v>
      </c>
      <c r="L509" s="22">
        <f t="shared" si="5"/>
        <v>1.435770264</v>
      </c>
      <c r="M509" s="22">
        <f t="shared" si="88"/>
        <v>0.1111111111</v>
      </c>
      <c r="N509" s="22">
        <f t="shared" si="89"/>
        <v>0.08766035329</v>
      </c>
      <c r="O509" s="22">
        <f t="shared" si="90"/>
        <v>0.7366676184</v>
      </c>
      <c r="P509" s="22">
        <f t="shared" si="9"/>
        <v>0.978894318</v>
      </c>
    </row>
    <row r="510">
      <c r="A510" s="18" t="s">
        <v>39</v>
      </c>
      <c r="B510" s="8" t="s">
        <v>94</v>
      </c>
      <c r="C510" s="8">
        <v>14.0</v>
      </c>
      <c r="D510" s="55">
        <v>0.93</v>
      </c>
      <c r="E510" s="8">
        <v>1.57</v>
      </c>
      <c r="F510" s="8">
        <v>0.011</v>
      </c>
      <c r="G510" s="21">
        <v>472.859724269</v>
      </c>
      <c r="H510" s="22">
        <f t="shared" si="1"/>
        <v>0.8558</v>
      </c>
      <c r="I510" s="22">
        <f t="shared" si="2"/>
        <v>1.168497312</v>
      </c>
      <c r="J510" s="22">
        <f t="shared" si="3"/>
        <v>0.5923566879</v>
      </c>
      <c r="K510" s="22">
        <f t="shared" si="4"/>
        <v>0.001252711232</v>
      </c>
      <c r="L510" s="22">
        <f t="shared" si="5"/>
        <v>0.1787960577</v>
      </c>
      <c r="M510" s="22">
        <f t="shared" si="88"/>
        <v>0.8888888889</v>
      </c>
      <c r="N510" s="22">
        <f t="shared" si="89"/>
        <v>1</v>
      </c>
      <c r="O510" s="22">
        <f t="shared" si="90"/>
        <v>0.2356600477</v>
      </c>
      <c r="P510" s="22">
        <f t="shared" si="9"/>
        <v>1.058823529</v>
      </c>
    </row>
    <row r="511">
      <c r="A511" s="18" t="s">
        <v>39</v>
      </c>
      <c r="B511" s="8" t="s">
        <v>94</v>
      </c>
      <c r="C511" s="8">
        <v>15.0</v>
      </c>
      <c r="D511" s="55">
        <v>0.93</v>
      </c>
      <c r="E511" s="8">
        <v>1.16</v>
      </c>
      <c r="F511" s="8">
        <v>0.008</v>
      </c>
      <c r="G511" s="21">
        <v>350.172433079</v>
      </c>
      <c r="H511" s="22">
        <f t="shared" si="1"/>
        <v>0.6224</v>
      </c>
      <c r="I511" s="22">
        <f t="shared" si="2"/>
        <v>1.606683805</v>
      </c>
      <c r="J511" s="22">
        <f t="shared" si="3"/>
        <v>0.8017241379</v>
      </c>
      <c r="K511" s="22">
        <f t="shared" si="4"/>
        <v>0.002289512429</v>
      </c>
      <c r="L511" s="22">
        <f t="shared" si="5"/>
        <v>0.3319793022</v>
      </c>
      <c r="M511" s="22">
        <f t="shared" si="88"/>
        <v>0.5555555556</v>
      </c>
      <c r="N511" s="22">
        <f t="shared" si="89"/>
        <v>0.640002529</v>
      </c>
      <c r="O511" s="22">
        <f t="shared" si="90"/>
        <v>0.3489734001</v>
      </c>
      <c r="P511" s="22">
        <f t="shared" si="9"/>
        <v>1.05428734</v>
      </c>
    </row>
    <row r="512">
      <c r="A512" s="18" t="s">
        <v>39</v>
      </c>
      <c r="B512" s="8" t="s">
        <v>94</v>
      </c>
      <c r="C512" s="8">
        <v>16.0</v>
      </c>
      <c r="D512" s="55">
        <v>0.93</v>
      </c>
      <c r="E512" s="8">
        <v>0.97</v>
      </c>
      <c r="F512" s="8">
        <v>0.007</v>
      </c>
      <c r="G512" s="21">
        <v>292.175212285999</v>
      </c>
      <c r="H512" s="22">
        <f t="shared" si="1"/>
        <v>0.5446</v>
      </c>
      <c r="I512" s="22">
        <f t="shared" si="2"/>
        <v>1.836210062</v>
      </c>
      <c r="J512" s="22">
        <f t="shared" si="3"/>
        <v>0.9587628866</v>
      </c>
      <c r="K512" s="22">
        <f t="shared" si="4"/>
        <v>0.003281465526</v>
      </c>
      <c r="L512" s="22">
        <f t="shared" si="5"/>
        <v>0.4547173657</v>
      </c>
      <c r="M512" s="22">
        <f t="shared" si="88"/>
        <v>0.4444444444</v>
      </c>
      <c r="N512" s="22">
        <f t="shared" si="89"/>
        <v>0.4698231029</v>
      </c>
      <c r="O512" s="22">
        <f t="shared" si="90"/>
        <v>0.4193305044</v>
      </c>
      <c r="P512" s="22">
        <f t="shared" si="9"/>
        <v>1.01756984</v>
      </c>
    </row>
    <row r="513">
      <c r="A513" s="18" t="s">
        <v>39</v>
      </c>
      <c r="B513" s="8" t="s">
        <v>94</v>
      </c>
      <c r="C513" s="8">
        <v>17.0</v>
      </c>
      <c r="D513" s="55">
        <v>0.93</v>
      </c>
      <c r="E513" s="8">
        <v>0.6</v>
      </c>
      <c r="F513" s="8">
        <v>0.004</v>
      </c>
      <c r="G513" s="21">
        <v>173.891497376999</v>
      </c>
      <c r="H513" s="22">
        <f t="shared" si="1"/>
        <v>0.3112</v>
      </c>
      <c r="I513" s="22">
        <f t="shared" si="2"/>
        <v>3.213367609</v>
      </c>
      <c r="J513" s="22">
        <f t="shared" si="3"/>
        <v>1.55</v>
      </c>
      <c r="K513" s="22">
        <f t="shared" si="4"/>
        <v>0.008913604307</v>
      </c>
      <c r="L513" s="22">
        <f t="shared" si="5"/>
        <v>1.337040646</v>
      </c>
      <c r="M513" s="22">
        <f t="shared" si="88"/>
        <v>0.1111111111</v>
      </c>
      <c r="N513" s="22">
        <f t="shared" si="89"/>
        <v>0.1227469077</v>
      </c>
      <c r="O513" s="22">
        <f t="shared" si="90"/>
        <v>0.7136462872</v>
      </c>
      <c r="P513" s="22">
        <f t="shared" si="9"/>
        <v>1.010472217</v>
      </c>
    </row>
    <row r="514">
      <c r="A514" s="18" t="s">
        <v>39</v>
      </c>
      <c r="B514" s="8" t="s">
        <v>94</v>
      </c>
      <c r="C514" s="8">
        <v>18.0</v>
      </c>
      <c r="D514" s="55">
        <v>0.93</v>
      </c>
      <c r="E514" s="8">
        <v>1.15</v>
      </c>
      <c r="F514" s="8">
        <v>0.008</v>
      </c>
      <c r="G514" s="21">
        <v>328.699856685</v>
      </c>
      <c r="H514" s="22">
        <f t="shared" si="1"/>
        <v>0.6224</v>
      </c>
      <c r="I514" s="22">
        <f t="shared" si="2"/>
        <v>1.606683805</v>
      </c>
      <c r="J514" s="22">
        <f t="shared" si="3"/>
        <v>0.8086956522</v>
      </c>
      <c r="K514" s="22">
        <f t="shared" si="4"/>
        <v>0.00246028599</v>
      </c>
      <c r="L514" s="22">
        <f t="shared" si="5"/>
        <v>0.353666111</v>
      </c>
      <c r="M514" s="22">
        <f t="shared" si="88"/>
        <v>0.5555555556</v>
      </c>
      <c r="N514" s="22">
        <f t="shared" si="89"/>
        <v>0.5769962215</v>
      </c>
      <c r="O514" s="22">
        <f t="shared" si="90"/>
        <v>0.3629160621</v>
      </c>
      <c r="P514" s="22">
        <f t="shared" si="9"/>
        <v>1.013783285</v>
      </c>
    </row>
    <row r="515">
      <c r="A515" s="18" t="s">
        <v>39</v>
      </c>
      <c r="B515" s="8" t="s">
        <v>94</v>
      </c>
      <c r="C515" s="8">
        <v>19.0</v>
      </c>
      <c r="D515" s="55">
        <v>0.93</v>
      </c>
      <c r="E515" s="8">
        <v>0.71</v>
      </c>
      <c r="F515" s="8">
        <v>0.005</v>
      </c>
      <c r="G515" s="21">
        <v>202.247542796</v>
      </c>
      <c r="H515" s="22">
        <f t="shared" si="1"/>
        <v>0.389</v>
      </c>
      <c r="I515" s="22">
        <f t="shared" si="2"/>
        <v>2.570694087</v>
      </c>
      <c r="J515" s="22">
        <f t="shared" si="3"/>
        <v>1.309859155</v>
      </c>
      <c r="K515" s="22">
        <f t="shared" si="4"/>
        <v>0.006476514556</v>
      </c>
      <c r="L515" s="22">
        <f t="shared" si="5"/>
        <v>0.919665067</v>
      </c>
      <c r="M515" s="22">
        <f t="shared" si="88"/>
        <v>0.2222222222</v>
      </c>
      <c r="N515" s="22">
        <f t="shared" si="89"/>
        <v>0.2059511625</v>
      </c>
      <c r="O515" s="22">
        <f t="shared" si="90"/>
        <v>0.6040076965</v>
      </c>
      <c r="P515" s="22">
        <f t="shared" si="9"/>
        <v>0.9866873148</v>
      </c>
    </row>
    <row r="516">
      <c r="A516" s="18" t="s">
        <v>39</v>
      </c>
      <c r="B516" s="8" t="s">
        <v>94</v>
      </c>
      <c r="C516" s="8">
        <v>20.0</v>
      </c>
      <c r="D516" s="55">
        <v>0.93</v>
      </c>
      <c r="E516" s="8">
        <v>1.13</v>
      </c>
      <c r="F516" s="8">
        <v>0.008</v>
      </c>
      <c r="G516" s="21">
        <v>322.505909800999</v>
      </c>
      <c r="H516" s="22">
        <f t="shared" si="1"/>
        <v>0.6224</v>
      </c>
      <c r="I516" s="22">
        <f t="shared" si="2"/>
        <v>1.606683805</v>
      </c>
      <c r="J516" s="22">
        <f t="shared" si="3"/>
        <v>0.8230088496</v>
      </c>
      <c r="K516" s="22">
        <f t="shared" si="4"/>
        <v>0.002551918661</v>
      </c>
      <c r="L516" s="22">
        <f t="shared" si="5"/>
        <v>0.3604585109</v>
      </c>
      <c r="M516" s="22">
        <f t="shared" si="88"/>
        <v>0.5555555556</v>
      </c>
      <c r="N516" s="22">
        <f t="shared" si="89"/>
        <v>0.5588215174</v>
      </c>
      <c r="O516" s="22">
        <f t="shared" si="90"/>
        <v>0.3671473945</v>
      </c>
      <c r="P516" s="22">
        <f t="shared" si="9"/>
        <v>1.002099547</v>
      </c>
    </row>
    <row r="517">
      <c r="A517" s="18" t="s">
        <v>39</v>
      </c>
      <c r="B517" s="8" t="s">
        <v>94</v>
      </c>
      <c r="C517" s="8">
        <v>21.0</v>
      </c>
      <c r="D517" s="55">
        <v>0.93</v>
      </c>
      <c r="E517" s="8">
        <v>1.05</v>
      </c>
      <c r="F517" s="8">
        <v>0.008</v>
      </c>
      <c r="G517" s="21">
        <v>300.146077526999</v>
      </c>
      <c r="H517" s="22">
        <f t="shared" si="1"/>
        <v>0.6224</v>
      </c>
      <c r="I517" s="22">
        <f t="shared" si="2"/>
        <v>1.606683805</v>
      </c>
      <c r="J517" s="22">
        <f t="shared" si="3"/>
        <v>0.8857142857</v>
      </c>
      <c r="K517" s="22">
        <f t="shared" si="4"/>
        <v>0.002950944064</v>
      </c>
      <c r="L517" s="22">
        <f t="shared" si="5"/>
        <v>0.3873114084</v>
      </c>
      <c r="M517" s="22">
        <f t="shared" si="88"/>
        <v>0.5555555556</v>
      </c>
      <c r="N517" s="22">
        <f t="shared" si="89"/>
        <v>0.4932117628</v>
      </c>
      <c r="O517" s="22">
        <f t="shared" si="90"/>
        <v>0.3832793666</v>
      </c>
      <c r="P517" s="22">
        <f t="shared" si="9"/>
        <v>0.9599218475</v>
      </c>
    </row>
    <row r="518">
      <c r="A518" s="18" t="s">
        <v>39</v>
      </c>
      <c r="B518" s="8" t="s">
        <v>94</v>
      </c>
      <c r="C518" s="8">
        <v>22.0</v>
      </c>
      <c r="D518" s="55">
        <v>0.93</v>
      </c>
      <c r="E518" s="8">
        <v>0.72</v>
      </c>
      <c r="F518" s="8">
        <v>0.005</v>
      </c>
      <c r="G518" s="21">
        <v>204.377573026999</v>
      </c>
      <c r="H518" s="22">
        <f t="shared" si="1"/>
        <v>0.389</v>
      </c>
      <c r="I518" s="22">
        <f t="shared" si="2"/>
        <v>2.570694087</v>
      </c>
      <c r="J518" s="22">
        <f t="shared" si="3"/>
        <v>1.291666667</v>
      </c>
      <c r="K518" s="22">
        <f t="shared" si="4"/>
        <v>0.006320001982</v>
      </c>
      <c r="L518" s="22">
        <f t="shared" si="5"/>
        <v>0.9100802855</v>
      </c>
      <c r="M518" s="22">
        <f t="shared" si="88"/>
        <v>0.2222222222</v>
      </c>
      <c r="N518" s="22">
        <f t="shared" si="89"/>
        <v>0.2122012434</v>
      </c>
      <c r="O518" s="22">
        <f t="shared" si="90"/>
        <v>0.6008934471</v>
      </c>
      <c r="P518" s="22">
        <f t="shared" si="9"/>
        <v>0.9918010173</v>
      </c>
    </row>
    <row r="519">
      <c r="A519" s="18" t="s">
        <v>39</v>
      </c>
      <c r="B519" s="8" t="s">
        <v>94</v>
      </c>
      <c r="C519" s="8">
        <v>23.0</v>
      </c>
      <c r="D519" s="55">
        <v>0.93</v>
      </c>
      <c r="E519" s="8">
        <v>1.17</v>
      </c>
      <c r="F519" s="8">
        <v>0.008</v>
      </c>
      <c r="G519" s="21">
        <v>334.026201417</v>
      </c>
      <c r="H519" s="22">
        <f t="shared" si="1"/>
        <v>0.6224</v>
      </c>
      <c r="I519" s="22">
        <f t="shared" si="2"/>
        <v>1.606683805</v>
      </c>
      <c r="J519" s="22">
        <f t="shared" si="3"/>
        <v>0.7948717949</v>
      </c>
      <c r="K519" s="22">
        <f t="shared" si="4"/>
        <v>0.002379668995</v>
      </c>
      <c r="L519" s="22">
        <f t="shared" si="5"/>
        <v>0.3480265904</v>
      </c>
      <c r="M519" s="22">
        <f t="shared" si="88"/>
        <v>0.5555555556</v>
      </c>
      <c r="N519" s="22">
        <f t="shared" si="89"/>
        <v>0.5926251478</v>
      </c>
      <c r="O519" s="22">
        <f t="shared" si="90"/>
        <v>0.3593546538</v>
      </c>
      <c r="P519" s="22">
        <f t="shared" si="9"/>
        <v>1.023830452</v>
      </c>
    </row>
    <row r="520">
      <c r="A520" s="18" t="s">
        <v>39</v>
      </c>
      <c r="B520" s="8" t="s">
        <v>94</v>
      </c>
      <c r="C520" s="8">
        <v>24.0</v>
      </c>
      <c r="D520" s="55">
        <v>0.93</v>
      </c>
      <c r="E520" s="8">
        <v>0.69</v>
      </c>
      <c r="F520" s="8">
        <v>0.005</v>
      </c>
      <c r="G520" s="21">
        <v>196.701701631</v>
      </c>
      <c r="H520" s="22">
        <f t="shared" si="1"/>
        <v>0.389</v>
      </c>
      <c r="I520" s="22">
        <f t="shared" si="2"/>
        <v>2.570694087</v>
      </c>
      <c r="J520" s="22">
        <f t="shared" si="3"/>
        <v>1.347826087</v>
      </c>
      <c r="K520" s="22">
        <f t="shared" si="4"/>
        <v>0.006852132319</v>
      </c>
      <c r="L520" s="22">
        <f t="shared" si="5"/>
        <v>0.94559426</v>
      </c>
      <c r="M520" s="22">
        <f t="shared" si="88"/>
        <v>0.2222222222</v>
      </c>
      <c r="N520" s="22">
        <f t="shared" si="89"/>
        <v>0.1896781747</v>
      </c>
      <c r="O520" s="22">
        <f t="shared" si="90"/>
        <v>0.612269603</v>
      </c>
      <c r="P520" s="22">
        <f t="shared" si="9"/>
        <v>0.973373052</v>
      </c>
    </row>
    <row r="521">
      <c r="A521" s="18" t="s">
        <v>39</v>
      </c>
      <c r="B521" s="8" t="s">
        <v>94</v>
      </c>
      <c r="C521" s="8">
        <v>25.0</v>
      </c>
      <c r="D521" s="55">
        <v>0.93</v>
      </c>
      <c r="E521" s="8">
        <v>1.61</v>
      </c>
      <c r="F521" s="8">
        <v>0.012</v>
      </c>
      <c r="G521" s="21">
        <v>457.863240136</v>
      </c>
      <c r="H521" s="22">
        <f t="shared" si="1"/>
        <v>0.9336</v>
      </c>
      <c r="I521" s="22">
        <f t="shared" si="2"/>
        <v>1.071122536</v>
      </c>
      <c r="J521" s="22">
        <f t="shared" si="3"/>
        <v>0.5776397516</v>
      </c>
      <c r="K521" s="22">
        <f t="shared" si="4"/>
        <v>0.001261598881</v>
      </c>
      <c r="L521" s="22">
        <f t="shared" si="5"/>
        <v>0.1692645166</v>
      </c>
      <c r="M521" s="22">
        <f t="shared" si="88"/>
        <v>1</v>
      </c>
      <c r="N521" s="22">
        <f t="shared" si="89"/>
        <v>0.9559962869</v>
      </c>
      <c r="O521" s="22">
        <f t="shared" si="90"/>
        <v>0.227574893</v>
      </c>
      <c r="P521" s="22">
        <f t="shared" si="9"/>
        <v>0.9779981435</v>
      </c>
    </row>
    <row r="522">
      <c r="A522" s="18" t="s">
        <v>39</v>
      </c>
      <c r="B522" s="8" t="s">
        <v>94</v>
      </c>
      <c r="C522" s="8">
        <v>26.0</v>
      </c>
      <c r="D522" s="55">
        <v>0.93</v>
      </c>
      <c r="E522" s="8">
        <v>1.14</v>
      </c>
      <c r="F522" s="8">
        <v>0.008</v>
      </c>
      <c r="G522" s="21">
        <v>323.227886632</v>
      </c>
      <c r="H522" s="22">
        <f t="shared" si="1"/>
        <v>0.6224</v>
      </c>
      <c r="I522" s="22">
        <f t="shared" si="2"/>
        <v>1.606683805</v>
      </c>
      <c r="J522" s="22">
        <f t="shared" si="3"/>
        <v>0.8157894737</v>
      </c>
      <c r="K522" s="22">
        <f t="shared" si="4"/>
        <v>0.002523883326</v>
      </c>
      <c r="L522" s="22">
        <f t="shared" si="5"/>
        <v>0.359653374</v>
      </c>
      <c r="M522" s="22">
        <f t="shared" si="88"/>
        <v>0.5555555556</v>
      </c>
      <c r="N522" s="22">
        <f t="shared" si="89"/>
        <v>0.5609399914</v>
      </c>
      <c r="O522" s="22">
        <f t="shared" si="90"/>
        <v>0.36664911</v>
      </c>
      <c r="P522" s="22">
        <f t="shared" si="9"/>
        <v>1.003461423</v>
      </c>
    </row>
    <row r="523">
      <c r="A523" s="18" t="s">
        <v>39</v>
      </c>
      <c r="B523" s="8" t="s">
        <v>94</v>
      </c>
      <c r="C523" s="8">
        <v>27.0</v>
      </c>
      <c r="D523" s="55">
        <v>0.93</v>
      </c>
      <c r="E523" s="8">
        <v>1.1</v>
      </c>
      <c r="F523" s="8">
        <v>0.008</v>
      </c>
      <c r="G523" s="21">
        <v>314.177773198</v>
      </c>
      <c r="H523" s="22">
        <f t="shared" si="1"/>
        <v>0.6224</v>
      </c>
      <c r="I523" s="22">
        <f t="shared" si="2"/>
        <v>1.606683805</v>
      </c>
      <c r="J523" s="22">
        <f t="shared" si="3"/>
        <v>0.8454545455</v>
      </c>
      <c r="K523" s="22">
        <f t="shared" si="4"/>
        <v>0.002691006868</v>
      </c>
      <c r="L523" s="22">
        <f t="shared" si="5"/>
        <v>0.3700134444</v>
      </c>
      <c r="M523" s="22">
        <f t="shared" si="88"/>
        <v>0.5555555556</v>
      </c>
      <c r="N523" s="22">
        <f t="shared" si="89"/>
        <v>0.5343845273</v>
      </c>
      <c r="O523" s="22">
        <f t="shared" si="90"/>
        <v>0.3729946754</v>
      </c>
      <c r="P523" s="22">
        <f t="shared" si="9"/>
        <v>0.9863900533</v>
      </c>
    </row>
    <row r="524">
      <c r="A524" s="18" t="s">
        <v>39</v>
      </c>
      <c r="B524" s="8" t="s">
        <v>94</v>
      </c>
      <c r="C524" s="8">
        <v>28.0</v>
      </c>
      <c r="D524" s="55">
        <v>0.93</v>
      </c>
      <c r="E524" s="8">
        <v>0.58</v>
      </c>
      <c r="F524" s="8">
        <v>0.004</v>
      </c>
      <c r="G524" s="21">
        <v>164.854845123999</v>
      </c>
      <c r="H524" s="22">
        <f t="shared" si="1"/>
        <v>0.3112</v>
      </c>
      <c r="I524" s="22">
        <f t="shared" si="2"/>
        <v>3.213367609</v>
      </c>
      <c r="J524" s="22">
        <f t="shared" si="3"/>
        <v>1.603448276</v>
      </c>
      <c r="K524" s="22">
        <f t="shared" si="4"/>
        <v>0.009726424933</v>
      </c>
      <c r="L524" s="22">
        <f t="shared" si="5"/>
        <v>1.410331615</v>
      </c>
      <c r="M524" s="22">
        <f t="shared" si="88"/>
        <v>0.1111111111</v>
      </c>
      <c r="N524" s="22">
        <f t="shared" si="89"/>
        <v>0.09623094237</v>
      </c>
      <c r="O524" s="22">
        <f t="shared" si="90"/>
        <v>0.7309081792</v>
      </c>
      <c r="P524" s="22">
        <f t="shared" si="9"/>
        <v>0.9866078481</v>
      </c>
    </row>
    <row r="525">
      <c r="A525" s="18" t="s">
        <v>39</v>
      </c>
      <c r="B525" s="8" t="s">
        <v>94</v>
      </c>
      <c r="C525" s="8">
        <v>29.0</v>
      </c>
      <c r="D525" s="55">
        <v>0.93</v>
      </c>
      <c r="E525" s="8">
        <v>1.12</v>
      </c>
      <c r="F525" s="8">
        <v>0.008</v>
      </c>
      <c r="G525" s="21">
        <v>319.125154306</v>
      </c>
      <c r="H525" s="22">
        <f t="shared" si="1"/>
        <v>0.6224</v>
      </c>
      <c r="I525" s="22">
        <f t="shared" si="2"/>
        <v>1.606683805</v>
      </c>
      <c r="J525" s="22">
        <f t="shared" si="3"/>
        <v>0.8303571429</v>
      </c>
      <c r="K525" s="22">
        <f t="shared" si="4"/>
        <v>0.002601979605</v>
      </c>
      <c r="L525" s="22">
        <f t="shared" si="5"/>
        <v>0.3642771447</v>
      </c>
      <c r="M525" s="22">
        <f t="shared" si="88"/>
        <v>0.5555555556</v>
      </c>
      <c r="N525" s="22">
        <f t="shared" si="89"/>
        <v>0.5489014726</v>
      </c>
      <c r="O525" s="22">
        <f t="shared" si="90"/>
        <v>0.369498815</v>
      </c>
      <c r="P525" s="22">
        <f t="shared" si="9"/>
        <v>0.9957223752</v>
      </c>
    </row>
    <row r="526">
      <c r="A526" s="18" t="s">
        <v>39</v>
      </c>
      <c r="B526" s="8" t="s">
        <v>94</v>
      </c>
      <c r="C526" s="8">
        <v>30.0</v>
      </c>
      <c r="D526" s="55">
        <v>0.93</v>
      </c>
      <c r="E526" s="8">
        <v>0.85</v>
      </c>
      <c r="F526" s="8">
        <v>0.006</v>
      </c>
      <c r="G526" s="21">
        <v>243.061881075</v>
      </c>
      <c r="H526" s="22">
        <f t="shared" si="1"/>
        <v>0.4668</v>
      </c>
      <c r="I526" s="22">
        <f t="shared" si="2"/>
        <v>2.142245073</v>
      </c>
      <c r="J526" s="22">
        <f t="shared" si="3"/>
        <v>1.094117647</v>
      </c>
      <c r="K526" s="22">
        <f t="shared" si="4"/>
        <v>0.004501395456</v>
      </c>
      <c r="L526" s="22">
        <f t="shared" si="5"/>
        <v>0.6376976896</v>
      </c>
      <c r="M526" s="22">
        <f t="shared" si="88"/>
        <v>0.3333333333</v>
      </c>
      <c r="N526" s="22">
        <f t="shared" si="89"/>
        <v>0.3257113953</v>
      </c>
      <c r="O526" s="22">
        <f t="shared" si="90"/>
        <v>0.5036567316</v>
      </c>
      <c r="P526" s="22">
        <f t="shared" si="9"/>
        <v>0.9942835465</v>
      </c>
    </row>
    <row r="527">
      <c r="A527" s="18" t="s">
        <v>39</v>
      </c>
      <c r="B527" s="8" t="s">
        <v>94</v>
      </c>
      <c r="C527" s="8">
        <v>31.0</v>
      </c>
      <c r="D527" s="55">
        <v>0.93</v>
      </c>
      <c r="E527" s="8">
        <v>0.82</v>
      </c>
      <c r="F527" s="8">
        <v>0.006</v>
      </c>
      <c r="G527" s="21">
        <v>234.783116394</v>
      </c>
      <c r="H527" s="22">
        <f t="shared" si="1"/>
        <v>0.4668</v>
      </c>
      <c r="I527" s="22">
        <f t="shared" si="2"/>
        <v>2.142245073</v>
      </c>
      <c r="J527" s="22">
        <f t="shared" si="3"/>
        <v>1.134146341</v>
      </c>
      <c r="K527" s="22">
        <f t="shared" si="4"/>
        <v>0.00483061286</v>
      </c>
      <c r="L527" s="22">
        <f t="shared" si="5"/>
        <v>0.6601837576</v>
      </c>
      <c r="M527" s="22">
        <f t="shared" si="88"/>
        <v>0.3333333333</v>
      </c>
      <c r="N527" s="22">
        <f t="shared" si="89"/>
        <v>0.3014192758</v>
      </c>
      <c r="O527" s="22">
        <f t="shared" si="90"/>
        <v>0.5130579213</v>
      </c>
      <c r="P527" s="22">
        <f t="shared" si="9"/>
        <v>0.9760644568</v>
      </c>
    </row>
    <row r="528">
      <c r="A528" s="18" t="s">
        <v>39</v>
      </c>
      <c r="B528" s="8" t="s">
        <v>94</v>
      </c>
      <c r="C528" s="8">
        <v>32.0</v>
      </c>
      <c r="D528" s="55">
        <v>0.93</v>
      </c>
      <c r="E528" s="8">
        <v>0.55</v>
      </c>
      <c r="F528" s="8">
        <v>0.004</v>
      </c>
      <c r="G528" s="21">
        <v>158.403344573001</v>
      </c>
      <c r="H528" s="22">
        <f t="shared" si="1"/>
        <v>0.3112</v>
      </c>
      <c r="I528" s="22">
        <f t="shared" si="2"/>
        <v>3.213367609</v>
      </c>
      <c r="J528" s="22">
        <f t="shared" si="3"/>
        <v>1.690909091</v>
      </c>
      <c r="K528" s="22">
        <f t="shared" si="4"/>
        <v>0.01067470574</v>
      </c>
      <c r="L528" s="22">
        <f t="shared" si="5"/>
        <v>1.467772039</v>
      </c>
      <c r="M528" s="22">
        <f t="shared" si="88"/>
        <v>0.1111111111</v>
      </c>
      <c r="N528" s="22">
        <f t="shared" si="89"/>
        <v>0.07730050663</v>
      </c>
      <c r="O528" s="22">
        <f t="shared" si="90"/>
        <v>0.7437517732</v>
      </c>
      <c r="P528" s="22">
        <f t="shared" si="9"/>
        <v>0.969570456</v>
      </c>
    </row>
    <row r="529">
      <c r="A529" s="18" t="s">
        <v>39</v>
      </c>
      <c r="B529" s="8" t="s">
        <v>94</v>
      </c>
      <c r="C529" s="8">
        <v>33.0</v>
      </c>
      <c r="D529" s="55">
        <v>0.93</v>
      </c>
      <c r="E529" s="8">
        <v>0.94</v>
      </c>
      <c r="F529" s="8">
        <v>0.007</v>
      </c>
      <c r="G529" s="21">
        <v>269.005799176</v>
      </c>
      <c r="H529" s="22">
        <f t="shared" si="1"/>
        <v>0.5446</v>
      </c>
      <c r="I529" s="22">
        <f t="shared" si="2"/>
        <v>1.836210062</v>
      </c>
      <c r="J529" s="22">
        <f t="shared" si="3"/>
        <v>0.9893617021</v>
      </c>
      <c r="K529" s="22">
        <f t="shared" si="4"/>
        <v>0.003677845255</v>
      </c>
      <c r="L529" s="22">
        <f t="shared" si="5"/>
        <v>0.4938820771</v>
      </c>
      <c r="M529" s="22">
        <f t="shared" si="88"/>
        <v>0.4444444444</v>
      </c>
      <c r="N529" s="22">
        <f t="shared" si="89"/>
        <v>0.4018378206</v>
      </c>
      <c r="O529" s="22">
        <f t="shared" si="90"/>
        <v>0.4396668816</v>
      </c>
      <c r="P529" s="22">
        <f t="shared" si="9"/>
        <v>0.9705031066</v>
      </c>
    </row>
    <row r="530">
      <c r="A530" s="18" t="s">
        <v>40</v>
      </c>
      <c r="B530" s="8" t="s">
        <v>30</v>
      </c>
      <c r="C530" s="8">
        <v>1.0</v>
      </c>
      <c r="D530" s="19">
        <v>0.96</v>
      </c>
      <c r="E530" s="8">
        <v>0.69</v>
      </c>
      <c r="F530" s="8">
        <v>0.005</v>
      </c>
      <c r="G530" s="21">
        <v>192.6802073</v>
      </c>
      <c r="H530" s="22">
        <f t="shared" si="1"/>
        <v>0.389</v>
      </c>
      <c r="I530" s="22">
        <f t="shared" si="2"/>
        <v>2.570694087</v>
      </c>
      <c r="J530" s="22">
        <f t="shared" si="3"/>
        <v>1.391304348</v>
      </c>
      <c r="K530" s="22">
        <f t="shared" si="4"/>
        <v>0.007220795365</v>
      </c>
      <c r="L530" s="22">
        <f t="shared" si="5"/>
        <v>0.9964697604</v>
      </c>
      <c r="M530" s="22">
        <f t="shared" ref="M530:M661" si="91">(H530-MIN($H$530:$H$661))/(MAX($H$530:$H$661)-MIN($H$530:$H$661))</f>
        <v>0.2</v>
      </c>
      <c r="N530" s="22">
        <f t="shared" ref="N530:N661" si="92">(G530-MIN($G$530:$G$661))/(MAX($G$530:$G$661)-MIN($G$530:$G$661))</f>
        <v>0.3707696106</v>
      </c>
      <c r="O530" s="22">
        <f t="shared" ref="O530:O661" si="93">0.96*(1/(1+M530))*(1/(1+N530))*(1-0.04271904169)</f>
        <v>0.5586823349</v>
      </c>
      <c r="P530" s="22">
        <f t="shared" si="9"/>
        <v>1.142308009</v>
      </c>
    </row>
    <row r="531">
      <c r="A531" s="18" t="s">
        <v>40</v>
      </c>
      <c r="B531" s="8" t="s">
        <v>30</v>
      </c>
      <c r="C531" s="8">
        <v>2.0</v>
      </c>
      <c r="D531" s="19">
        <v>0.96</v>
      </c>
      <c r="E531" s="8">
        <v>0.8</v>
      </c>
      <c r="F531" s="8">
        <v>0.006</v>
      </c>
      <c r="G531" s="21">
        <v>218.7219293</v>
      </c>
      <c r="H531" s="22">
        <f t="shared" si="1"/>
        <v>0.4668</v>
      </c>
      <c r="I531" s="22">
        <f t="shared" si="2"/>
        <v>2.142245073</v>
      </c>
      <c r="J531" s="22">
        <f t="shared" si="3"/>
        <v>1.2</v>
      </c>
      <c r="K531" s="22">
        <f t="shared" si="4"/>
        <v>0.00548641832</v>
      </c>
      <c r="L531" s="22">
        <f t="shared" si="5"/>
        <v>0.7315224427</v>
      </c>
      <c r="M531" s="22">
        <f t="shared" si="91"/>
        <v>0.4</v>
      </c>
      <c r="N531" s="22">
        <f t="shared" si="92"/>
        <v>0.5188865489</v>
      </c>
      <c r="O531" s="22">
        <f t="shared" si="93"/>
        <v>0.4321726524</v>
      </c>
      <c r="P531" s="22">
        <f t="shared" si="9"/>
        <v>1.084918964</v>
      </c>
    </row>
    <row r="532">
      <c r="A532" s="18" t="s">
        <v>40</v>
      </c>
      <c r="B532" s="8" t="s">
        <v>30</v>
      </c>
      <c r="C532" s="8">
        <v>3.0</v>
      </c>
      <c r="D532" s="19">
        <v>0.96</v>
      </c>
      <c r="E532" s="8">
        <v>0.77</v>
      </c>
      <c r="F532" s="8">
        <v>0.006</v>
      </c>
      <c r="G532" s="21">
        <v>207.8716053</v>
      </c>
      <c r="H532" s="22">
        <f t="shared" si="1"/>
        <v>0.4668</v>
      </c>
      <c r="I532" s="22">
        <f t="shared" si="2"/>
        <v>2.142245073</v>
      </c>
      <c r="J532" s="22">
        <f t="shared" si="3"/>
        <v>1.246753247</v>
      </c>
      <c r="K532" s="22">
        <f t="shared" si="4"/>
        <v>0.005997708273</v>
      </c>
      <c r="L532" s="22">
        <f t="shared" si="5"/>
        <v>0.769705895</v>
      </c>
      <c r="M532" s="22">
        <f t="shared" si="91"/>
        <v>0.4</v>
      </c>
      <c r="N532" s="22">
        <f t="shared" si="92"/>
        <v>0.457173396</v>
      </c>
      <c r="O532" s="22">
        <f t="shared" si="93"/>
        <v>0.4504757158</v>
      </c>
      <c r="P532" s="22">
        <f t="shared" si="9"/>
        <v>1.04083814</v>
      </c>
    </row>
    <row r="533">
      <c r="A533" s="18" t="s">
        <v>40</v>
      </c>
      <c r="B533" s="8" t="s">
        <v>30</v>
      </c>
      <c r="C533" s="8">
        <v>4.0</v>
      </c>
      <c r="D533" s="19">
        <v>0.96</v>
      </c>
      <c r="E533" s="8">
        <v>0.83</v>
      </c>
      <c r="F533" s="8">
        <v>0.006</v>
      </c>
      <c r="G533" s="21">
        <v>219.4672812</v>
      </c>
      <c r="H533" s="22">
        <f t="shared" si="1"/>
        <v>0.4668</v>
      </c>
      <c r="I533" s="22">
        <f t="shared" si="2"/>
        <v>2.142245073</v>
      </c>
      <c r="J533" s="22">
        <f t="shared" si="3"/>
        <v>1.156626506</v>
      </c>
      <c r="K533" s="22">
        <f t="shared" si="4"/>
        <v>0.00527015462</v>
      </c>
      <c r="L533" s="22">
        <f t="shared" si="5"/>
        <v>0.7290380558</v>
      </c>
      <c r="M533" s="22">
        <f t="shared" si="91"/>
        <v>0.4</v>
      </c>
      <c r="N533" s="22">
        <f t="shared" si="92"/>
        <v>0.5231258708</v>
      </c>
      <c r="O533" s="22">
        <f t="shared" si="93"/>
        <v>0.4309697847</v>
      </c>
      <c r="P533" s="22">
        <f t="shared" si="9"/>
        <v>1.087947051</v>
      </c>
    </row>
    <row r="534">
      <c r="A534" s="18" t="s">
        <v>40</v>
      </c>
      <c r="B534" s="8" t="s">
        <v>30</v>
      </c>
      <c r="C534" s="8">
        <v>5.0</v>
      </c>
      <c r="D534" s="19">
        <v>0.96</v>
      </c>
      <c r="E534" s="8">
        <v>0.79</v>
      </c>
      <c r="F534" s="8">
        <v>0.006</v>
      </c>
      <c r="G534" s="21">
        <v>209.6346738</v>
      </c>
      <c r="H534" s="22">
        <f t="shared" si="1"/>
        <v>0.4668</v>
      </c>
      <c r="I534" s="22">
        <f t="shared" si="2"/>
        <v>2.142245073</v>
      </c>
      <c r="J534" s="22">
        <f t="shared" si="3"/>
        <v>1.215189873</v>
      </c>
      <c r="K534" s="22">
        <f t="shared" si="4"/>
        <v>0.00579670267</v>
      </c>
      <c r="L534" s="22">
        <f t="shared" si="5"/>
        <v>0.7632325183</v>
      </c>
      <c r="M534" s="22">
        <f t="shared" si="91"/>
        <v>0.4</v>
      </c>
      <c r="N534" s="22">
        <f t="shared" si="92"/>
        <v>0.4672011626</v>
      </c>
      <c r="O534" s="22">
        <f t="shared" si="93"/>
        <v>0.4473968842</v>
      </c>
      <c r="P534" s="22">
        <f t="shared" si="9"/>
        <v>1.04800083</v>
      </c>
    </row>
    <row r="535">
      <c r="A535" s="18" t="s">
        <v>40</v>
      </c>
      <c r="B535" s="8" t="s">
        <v>30</v>
      </c>
      <c r="C535" s="8">
        <v>6.0</v>
      </c>
      <c r="D535" s="19">
        <v>0.96</v>
      </c>
      <c r="E535" s="8">
        <v>0.62</v>
      </c>
      <c r="F535" s="8">
        <v>0.004</v>
      </c>
      <c r="G535" s="21">
        <v>167.5179433</v>
      </c>
      <c r="H535" s="22">
        <f t="shared" si="1"/>
        <v>0.3112</v>
      </c>
      <c r="I535" s="22">
        <f t="shared" si="2"/>
        <v>3.213367609</v>
      </c>
      <c r="J535" s="22">
        <f t="shared" si="3"/>
        <v>1.548387097</v>
      </c>
      <c r="K535" s="22">
        <f t="shared" si="4"/>
        <v>0.00924311191</v>
      </c>
      <c r="L535" s="22">
        <f t="shared" si="5"/>
        <v>1.432682346</v>
      </c>
      <c r="M535" s="22">
        <f t="shared" si="91"/>
        <v>0</v>
      </c>
      <c r="N535" s="22">
        <f t="shared" si="92"/>
        <v>0.2276547465</v>
      </c>
      <c r="O535" s="22">
        <f t="shared" si="93"/>
        <v>0.7485734264</v>
      </c>
      <c r="P535" s="22">
        <f t="shared" si="9"/>
        <v>1.227654746</v>
      </c>
    </row>
    <row r="536">
      <c r="A536" s="18" t="s">
        <v>40</v>
      </c>
      <c r="B536" s="8" t="s">
        <v>30</v>
      </c>
      <c r="C536" s="8">
        <v>7.0</v>
      </c>
      <c r="D536" s="19">
        <v>0.96</v>
      </c>
      <c r="E536" s="8">
        <v>0.85</v>
      </c>
      <c r="F536" s="8">
        <v>0.006</v>
      </c>
      <c r="G536" s="21">
        <v>224.5194389</v>
      </c>
      <c r="H536" s="22">
        <f t="shared" si="1"/>
        <v>0.4668</v>
      </c>
      <c r="I536" s="22">
        <f t="shared" si="2"/>
        <v>2.142245073</v>
      </c>
      <c r="J536" s="22">
        <f t="shared" si="3"/>
        <v>1.129411765</v>
      </c>
      <c r="K536" s="22">
        <f t="shared" si="4"/>
        <v>0.005030351805</v>
      </c>
      <c r="L536" s="22">
        <f t="shared" si="5"/>
        <v>0.7126331724</v>
      </c>
      <c r="M536" s="22">
        <f t="shared" si="91"/>
        <v>0.4</v>
      </c>
      <c r="N536" s="22">
        <f t="shared" si="92"/>
        <v>0.5518609187</v>
      </c>
      <c r="O536" s="22">
        <f t="shared" si="93"/>
        <v>0.4229897284</v>
      </c>
      <c r="P536" s="22">
        <f t="shared" si="9"/>
        <v>1.108472085</v>
      </c>
    </row>
    <row r="537">
      <c r="A537" s="18" t="s">
        <v>40</v>
      </c>
      <c r="B537" s="8" t="s">
        <v>30</v>
      </c>
      <c r="C537" s="8">
        <v>8.0</v>
      </c>
      <c r="D537" s="19">
        <v>0.96</v>
      </c>
      <c r="E537" s="8">
        <v>1.06</v>
      </c>
      <c r="F537" s="8">
        <v>0.008</v>
      </c>
      <c r="G537" s="21">
        <v>277.7322862</v>
      </c>
      <c r="H537" s="22">
        <f t="shared" si="1"/>
        <v>0.6224</v>
      </c>
      <c r="I537" s="22">
        <f t="shared" si="2"/>
        <v>1.606683805</v>
      </c>
      <c r="J537" s="22">
        <f t="shared" si="3"/>
        <v>0.9056603774</v>
      </c>
      <c r="K537" s="22">
        <f t="shared" si="4"/>
        <v>0.003260911397</v>
      </c>
      <c r="L537" s="22">
        <f t="shared" si="5"/>
        <v>0.4320707601</v>
      </c>
      <c r="M537" s="22">
        <f t="shared" si="91"/>
        <v>0.8</v>
      </c>
      <c r="N537" s="22">
        <f t="shared" si="92"/>
        <v>0.854518478</v>
      </c>
      <c r="O537" s="22">
        <f t="shared" si="93"/>
        <v>0.2753004893</v>
      </c>
      <c r="P537" s="22">
        <f t="shared" si="9"/>
        <v>1.030288043</v>
      </c>
    </row>
    <row r="538">
      <c r="A538" s="18" t="s">
        <v>40</v>
      </c>
      <c r="B538" s="8" t="s">
        <v>30</v>
      </c>
      <c r="C538" s="8">
        <v>9.0</v>
      </c>
      <c r="D538" s="19">
        <v>0.96</v>
      </c>
      <c r="E538" s="8">
        <v>0.81</v>
      </c>
      <c r="F538" s="8">
        <v>0.006</v>
      </c>
      <c r="G538" s="21">
        <v>214.8123293</v>
      </c>
      <c r="H538" s="22">
        <f t="shared" si="1"/>
        <v>0.4668</v>
      </c>
      <c r="I538" s="22">
        <f t="shared" si="2"/>
        <v>2.142245073</v>
      </c>
      <c r="J538" s="22">
        <f t="shared" si="3"/>
        <v>1.185185185</v>
      </c>
      <c r="K538" s="22">
        <f t="shared" si="4"/>
        <v>0.005517305217</v>
      </c>
      <c r="L538" s="22">
        <f t="shared" si="5"/>
        <v>0.7448362043</v>
      </c>
      <c r="M538" s="22">
        <f t="shared" si="91"/>
        <v>0.4</v>
      </c>
      <c r="N538" s="22">
        <f t="shared" si="92"/>
        <v>0.4966500016</v>
      </c>
      <c r="O538" s="22">
        <f t="shared" si="93"/>
        <v>0.4385936778</v>
      </c>
      <c r="P538" s="22">
        <f t="shared" si="9"/>
        <v>1.069035715</v>
      </c>
    </row>
    <row r="539">
      <c r="A539" s="18" t="s">
        <v>40</v>
      </c>
      <c r="B539" s="8" t="s">
        <v>30</v>
      </c>
      <c r="C539" s="8">
        <v>10.0</v>
      </c>
      <c r="D539" s="19">
        <v>0.96</v>
      </c>
      <c r="E539" s="8">
        <v>0.74</v>
      </c>
      <c r="F539" s="8">
        <v>0.005</v>
      </c>
      <c r="G539" s="21">
        <v>198.265094</v>
      </c>
      <c r="H539" s="22">
        <f t="shared" si="1"/>
        <v>0.389</v>
      </c>
      <c r="I539" s="22">
        <f t="shared" si="2"/>
        <v>2.570694087</v>
      </c>
      <c r="J539" s="22">
        <f t="shared" si="3"/>
        <v>1.297297297</v>
      </c>
      <c r="K539" s="22">
        <f t="shared" si="4"/>
        <v>0.006543246071</v>
      </c>
      <c r="L539" s="22">
        <f t="shared" si="5"/>
        <v>0.9684004185</v>
      </c>
      <c r="M539" s="22">
        <f t="shared" si="91"/>
        <v>0.2</v>
      </c>
      <c r="N539" s="22">
        <f t="shared" si="92"/>
        <v>0.4025346497</v>
      </c>
      <c r="O539" s="22">
        <f t="shared" si="93"/>
        <v>0.5460291243</v>
      </c>
      <c r="P539" s="22">
        <f t="shared" si="9"/>
        <v>1.168778875</v>
      </c>
    </row>
    <row r="540">
      <c r="A540" s="18" t="s">
        <v>40</v>
      </c>
      <c r="B540" s="8" t="s">
        <v>30</v>
      </c>
      <c r="C540" s="8">
        <v>11.0</v>
      </c>
      <c r="D540" s="19">
        <v>0.96</v>
      </c>
      <c r="E540" s="8">
        <v>0.75</v>
      </c>
      <c r="F540" s="8">
        <v>0.005</v>
      </c>
      <c r="G540" s="21">
        <v>201.1701673</v>
      </c>
      <c r="H540" s="22">
        <f t="shared" si="1"/>
        <v>0.389</v>
      </c>
      <c r="I540" s="22">
        <f t="shared" si="2"/>
        <v>2.570694087</v>
      </c>
      <c r="J540" s="22">
        <f t="shared" si="3"/>
        <v>1.28</v>
      </c>
      <c r="K540" s="22">
        <f t="shared" si="4"/>
        <v>0.006362772459</v>
      </c>
      <c r="L540" s="22">
        <f t="shared" si="5"/>
        <v>0.9544158688</v>
      </c>
      <c r="M540" s="22">
        <f t="shared" si="91"/>
        <v>0.2</v>
      </c>
      <c r="N540" s="22">
        <f t="shared" si="92"/>
        <v>0.4190577722</v>
      </c>
      <c r="O540" s="22">
        <f t="shared" si="93"/>
        <v>0.5396713098</v>
      </c>
      <c r="P540" s="22">
        <f t="shared" si="9"/>
        <v>1.182548144</v>
      </c>
    </row>
    <row r="541">
      <c r="A541" s="18" t="s">
        <v>40</v>
      </c>
      <c r="B541" s="8" t="s">
        <v>30</v>
      </c>
      <c r="C541" s="8">
        <v>12.0</v>
      </c>
      <c r="D541" s="19">
        <v>0.96</v>
      </c>
      <c r="E541" s="8">
        <v>0.51</v>
      </c>
      <c r="F541" s="8">
        <v>0.004</v>
      </c>
      <c r="G541" s="21">
        <v>135.7614055</v>
      </c>
      <c r="H541" s="22">
        <f t="shared" si="1"/>
        <v>0.3112</v>
      </c>
      <c r="I541" s="22">
        <f t="shared" si="2"/>
        <v>3.213367609</v>
      </c>
      <c r="J541" s="22">
        <f t="shared" si="3"/>
        <v>1.882352941</v>
      </c>
      <c r="K541" s="22">
        <f t="shared" si="4"/>
        <v>0.01386515508</v>
      </c>
      <c r="L541" s="22">
        <f t="shared" si="5"/>
        <v>1.767807273</v>
      </c>
      <c r="M541" s="22">
        <f t="shared" si="91"/>
        <v>0</v>
      </c>
      <c r="N541" s="22">
        <f t="shared" si="92"/>
        <v>0.04703377409</v>
      </c>
      <c r="O541" s="22">
        <f t="shared" si="93"/>
        <v>0.8777078092</v>
      </c>
      <c r="P541" s="22">
        <f t="shared" si="9"/>
        <v>1.047033774</v>
      </c>
    </row>
    <row r="542">
      <c r="A542" s="18" t="s">
        <v>40</v>
      </c>
      <c r="B542" s="8" t="s">
        <v>30</v>
      </c>
      <c r="C542" s="8">
        <v>13.0</v>
      </c>
      <c r="D542" s="19">
        <v>0.96</v>
      </c>
      <c r="E542" s="8">
        <v>0.74</v>
      </c>
      <c r="F542" s="8">
        <v>0.005</v>
      </c>
      <c r="G542" s="21">
        <v>196.8743341</v>
      </c>
      <c r="H542" s="22">
        <f t="shared" si="1"/>
        <v>0.389</v>
      </c>
      <c r="I542" s="22">
        <f t="shared" si="2"/>
        <v>2.570694087</v>
      </c>
      <c r="J542" s="22">
        <f t="shared" si="3"/>
        <v>1.297297297</v>
      </c>
      <c r="K542" s="22">
        <f t="shared" si="4"/>
        <v>0.006589468877</v>
      </c>
      <c r="L542" s="22">
        <f t="shared" si="5"/>
        <v>0.9752413938</v>
      </c>
      <c r="M542" s="22">
        <f t="shared" si="91"/>
        <v>0.2</v>
      </c>
      <c r="N542" s="22">
        <f t="shared" si="92"/>
        <v>0.3946244548</v>
      </c>
      <c r="O542" s="22">
        <f t="shared" si="93"/>
        <v>0.5491261565</v>
      </c>
      <c r="P542" s="22">
        <f t="shared" si="9"/>
        <v>1.162187046</v>
      </c>
    </row>
    <row r="543">
      <c r="A543" s="18" t="s">
        <v>40</v>
      </c>
      <c r="B543" s="8" t="s">
        <v>30</v>
      </c>
      <c r="C543" s="8">
        <v>14.0</v>
      </c>
      <c r="D543" s="19">
        <v>0.96</v>
      </c>
      <c r="E543" s="8">
        <v>0.79</v>
      </c>
      <c r="F543" s="8">
        <v>0.006</v>
      </c>
      <c r="G543" s="21">
        <v>208.7753333</v>
      </c>
      <c r="H543" s="22">
        <f t="shared" si="1"/>
        <v>0.4668</v>
      </c>
      <c r="I543" s="22">
        <f t="shared" si="2"/>
        <v>2.142245073</v>
      </c>
      <c r="J543" s="22">
        <f t="shared" si="3"/>
        <v>1.215189873</v>
      </c>
      <c r="K543" s="22">
        <f t="shared" si="4"/>
        <v>0.005820562488</v>
      </c>
      <c r="L543" s="22">
        <f t="shared" si="5"/>
        <v>0.7663740609</v>
      </c>
      <c r="M543" s="22">
        <f t="shared" si="91"/>
        <v>0.4</v>
      </c>
      <c r="N543" s="22">
        <f t="shared" si="92"/>
        <v>0.4623135102</v>
      </c>
      <c r="O543" s="22">
        <f t="shared" si="93"/>
        <v>0.4488922683</v>
      </c>
      <c r="P543" s="22">
        <f t="shared" si="9"/>
        <v>1.04450965</v>
      </c>
    </row>
    <row r="544">
      <c r="A544" s="18" t="s">
        <v>40</v>
      </c>
      <c r="B544" s="8" t="s">
        <v>30</v>
      </c>
      <c r="C544" s="8">
        <v>15.0</v>
      </c>
      <c r="D544" s="19">
        <v>0.96</v>
      </c>
      <c r="E544" s="8">
        <v>0.77</v>
      </c>
      <c r="F544" s="8">
        <v>0.006</v>
      </c>
      <c r="G544" s="21">
        <v>202.2155244</v>
      </c>
      <c r="H544" s="22">
        <f t="shared" si="1"/>
        <v>0.4668</v>
      </c>
      <c r="I544" s="22">
        <f t="shared" si="2"/>
        <v>2.142245073</v>
      </c>
      <c r="J544" s="22">
        <f t="shared" si="3"/>
        <v>1.246753247</v>
      </c>
      <c r="K544" s="22">
        <f t="shared" si="4"/>
        <v>0.006165467515</v>
      </c>
      <c r="L544" s="22">
        <f t="shared" si="5"/>
        <v>0.7912349978</v>
      </c>
      <c r="M544" s="22">
        <f t="shared" si="91"/>
        <v>0.4</v>
      </c>
      <c r="N544" s="22">
        <f t="shared" si="92"/>
        <v>0.4250034272</v>
      </c>
      <c r="O544" s="22">
        <f t="shared" si="93"/>
        <v>0.4606453683</v>
      </c>
      <c r="P544" s="22">
        <f t="shared" si="9"/>
        <v>1.017859591</v>
      </c>
    </row>
    <row r="545">
      <c r="A545" s="18" t="s">
        <v>40</v>
      </c>
      <c r="B545" s="8" t="s">
        <v>30</v>
      </c>
      <c r="C545" s="8">
        <v>16.0</v>
      </c>
      <c r="D545" s="19">
        <v>0.96</v>
      </c>
      <c r="E545" s="8">
        <v>0.76</v>
      </c>
      <c r="F545" s="8">
        <v>0.006</v>
      </c>
      <c r="G545" s="21">
        <v>201.7527622</v>
      </c>
      <c r="H545" s="22">
        <f t="shared" si="1"/>
        <v>0.4668</v>
      </c>
      <c r="I545" s="22">
        <f t="shared" si="2"/>
        <v>2.142245073</v>
      </c>
      <c r="J545" s="22">
        <f t="shared" si="3"/>
        <v>1.263157895</v>
      </c>
      <c r="K545" s="22">
        <f t="shared" si="4"/>
        <v>0.006260919955</v>
      </c>
      <c r="L545" s="22">
        <f t="shared" si="5"/>
        <v>0.7930498609</v>
      </c>
      <c r="M545" s="22">
        <f t="shared" si="91"/>
        <v>0.4</v>
      </c>
      <c r="N545" s="22">
        <f t="shared" si="92"/>
        <v>0.4223713846</v>
      </c>
      <c r="O545" s="22">
        <f t="shared" si="93"/>
        <v>0.4614977745</v>
      </c>
      <c r="P545" s="22">
        <f t="shared" si="9"/>
        <v>1.01597956</v>
      </c>
    </row>
    <row r="546">
      <c r="A546" s="18" t="s">
        <v>40</v>
      </c>
      <c r="B546" s="8" t="s">
        <v>30</v>
      </c>
      <c r="C546" s="8">
        <v>17.0</v>
      </c>
      <c r="D546" s="19">
        <v>0.96</v>
      </c>
      <c r="E546" s="8">
        <v>0.91</v>
      </c>
      <c r="F546" s="8">
        <v>0.007</v>
      </c>
      <c r="G546" s="21">
        <v>234.0009281</v>
      </c>
      <c r="H546" s="22">
        <f t="shared" si="1"/>
        <v>0.5446</v>
      </c>
      <c r="I546" s="22">
        <f t="shared" si="2"/>
        <v>1.836210062</v>
      </c>
      <c r="J546" s="22">
        <f t="shared" si="3"/>
        <v>1.054945055</v>
      </c>
      <c r="K546" s="22">
        <f t="shared" si="4"/>
        <v>0.00450829432</v>
      </c>
      <c r="L546" s="22">
        <f t="shared" si="5"/>
        <v>0.5860782616</v>
      </c>
      <c r="M546" s="22">
        <f t="shared" si="91"/>
        <v>0.6</v>
      </c>
      <c r="N546" s="22">
        <f t="shared" si="92"/>
        <v>0.6057885795</v>
      </c>
      <c r="O546" s="22">
        <f t="shared" si="93"/>
        <v>0.3576862996</v>
      </c>
      <c r="P546" s="22">
        <f t="shared" si="9"/>
        <v>1.003617862</v>
      </c>
    </row>
    <row r="547">
      <c r="A547" s="18" t="s">
        <v>40</v>
      </c>
      <c r="B547" s="8" t="s">
        <v>30</v>
      </c>
      <c r="C547" s="8">
        <v>18.0</v>
      </c>
      <c r="D547" s="19">
        <v>0.96</v>
      </c>
      <c r="E547" s="8">
        <v>0.7</v>
      </c>
      <c r="F547" s="8">
        <v>0.005</v>
      </c>
      <c r="G547" s="21">
        <v>184.8511298</v>
      </c>
      <c r="H547" s="22">
        <f t="shared" si="1"/>
        <v>0.389</v>
      </c>
      <c r="I547" s="22">
        <f t="shared" si="2"/>
        <v>2.570694087</v>
      </c>
      <c r="J547" s="22">
        <f t="shared" si="3"/>
        <v>1.371428571</v>
      </c>
      <c r="K547" s="22">
        <f t="shared" si="4"/>
        <v>0.007419097589</v>
      </c>
      <c r="L547" s="22">
        <f t="shared" si="5"/>
        <v>1.038673662</v>
      </c>
      <c r="M547" s="22">
        <f t="shared" si="91"/>
        <v>0.2</v>
      </c>
      <c r="N547" s="22">
        <f t="shared" si="92"/>
        <v>0.326240336</v>
      </c>
      <c r="O547" s="22">
        <f t="shared" si="93"/>
        <v>0.5774404125</v>
      </c>
      <c r="P547" s="22">
        <f t="shared" si="9"/>
        <v>1.10520028</v>
      </c>
    </row>
    <row r="548">
      <c r="A548" s="18" t="s">
        <v>40</v>
      </c>
      <c r="B548" s="8" t="s">
        <v>30</v>
      </c>
      <c r="C548" s="8">
        <v>19.0</v>
      </c>
      <c r="D548" s="19">
        <v>0.96</v>
      </c>
      <c r="E548" s="8">
        <v>0.59</v>
      </c>
      <c r="F548" s="8">
        <v>0.004</v>
      </c>
      <c r="G548" s="21">
        <v>156.8597214</v>
      </c>
      <c r="H548" s="22">
        <f t="shared" si="1"/>
        <v>0.3112</v>
      </c>
      <c r="I548" s="22">
        <f t="shared" si="2"/>
        <v>3.213367609</v>
      </c>
      <c r="J548" s="22">
        <f t="shared" si="3"/>
        <v>1.627118644</v>
      </c>
      <c r="K548" s="22">
        <f t="shared" si="4"/>
        <v>0.01037308131</v>
      </c>
      <c r="L548" s="22">
        <f t="shared" si="5"/>
        <v>1.530029493</v>
      </c>
      <c r="M548" s="22">
        <f t="shared" si="91"/>
        <v>0</v>
      </c>
      <c r="N548" s="22">
        <f t="shared" si="92"/>
        <v>0.1670342086</v>
      </c>
      <c r="O548" s="22">
        <f t="shared" si="93"/>
        <v>0.7874573969</v>
      </c>
      <c r="P548" s="22">
        <f t="shared" si="9"/>
        <v>1.167034209</v>
      </c>
    </row>
    <row r="549">
      <c r="A549" s="18" t="s">
        <v>40</v>
      </c>
      <c r="B549" s="8" t="s">
        <v>30</v>
      </c>
      <c r="C549" s="8">
        <v>20.0</v>
      </c>
      <c r="D549" s="19">
        <v>0.96</v>
      </c>
      <c r="E549" s="8">
        <v>0.75</v>
      </c>
      <c r="F549" s="8">
        <v>0.005</v>
      </c>
      <c r="G549" s="21">
        <v>197.1136844</v>
      </c>
      <c r="H549" s="22">
        <f t="shared" si="1"/>
        <v>0.389</v>
      </c>
      <c r="I549" s="22">
        <f t="shared" si="2"/>
        <v>2.570694087</v>
      </c>
      <c r="J549" s="22">
        <f t="shared" si="3"/>
        <v>1.28</v>
      </c>
      <c r="K549" s="22">
        <f t="shared" si="4"/>
        <v>0.006493714548</v>
      </c>
      <c r="L549" s="22">
        <f t="shared" si="5"/>
        <v>0.9740571822</v>
      </c>
      <c r="M549" s="22">
        <f t="shared" si="91"/>
        <v>0.2</v>
      </c>
      <c r="N549" s="22">
        <f t="shared" si="92"/>
        <v>0.3959858023</v>
      </c>
      <c r="O549" s="22">
        <f t="shared" si="93"/>
        <v>0.5485906557</v>
      </c>
      <c r="P549" s="22">
        <f t="shared" si="9"/>
        <v>1.163321502</v>
      </c>
    </row>
    <row r="550">
      <c r="A550" s="18" t="s">
        <v>40</v>
      </c>
      <c r="B550" s="8" t="s">
        <v>30</v>
      </c>
      <c r="C550" s="8">
        <v>21.0</v>
      </c>
      <c r="D550" s="19">
        <v>0.96</v>
      </c>
      <c r="E550" s="8">
        <v>0.74</v>
      </c>
      <c r="F550" s="8">
        <v>0.005</v>
      </c>
      <c r="G550" s="21">
        <v>195.7658776</v>
      </c>
      <c r="H550" s="22">
        <f t="shared" si="1"/>
        <v>0.389</v>
      </c>
      <c r="I550" s="22">
        <f t="shared" si="2"/>
        <v>2.570694087</v>
      </c>
      <c r="J550" s="22">
        <f t="shared" si="3"/>
        <v>1.297297297</v>
      </c>
      <c r="K550" s="22">
        <f t="shared" si="4"/>
        <v>0.006626779463</v>
      </c>
      <c r="L550" s="22">
        <f t="shared" si="5"/>
        <v>0.9807633606</v>
      </c>
      <c r="M550" s="22">
        <f t="shared" si="91"/>
        <v>0.2</v>
      </c>
      <c r="N550" s="22">
        <f t="shared" si="92"/>
        <v>0.3883199107</v>
      </c>
      <c r="O550" s="22">
        <f t="shared" si="93"/>
        <v>0.5516198109</v>
      </c>
      <c r="P550" s="22">
        <f t="shared" si="9"/>
        <v>1.156933259</v>
      </c>
    </row>
    <row r="551">
      <c r="A551" s="18" t="s">
        <v>40</v>
      </c>
      <c r="B551" s="8" t="s">
        <v>30</v>
      </c>
      <c r="C551" s="8">
        <v>22.0</v>
      </c>
      <c r="D551" s="19">
        <v>0.96</v>
      </c>
      <c r="E551" s="8">
        <v>0.88</v>
      </c>
      <c r="F551" s="8">
        <v>0.006</v>
      </c>
      <c r="G551" s="21">
        <v>227.5128173</v>
      </c>
      <c r="H551" s="22">
        <f t="shared" si="1"/>
        <v>0.4668</v>
      </c>
      <c r="I551" s="22">
        <f t="shared" si="2"/>
        <v>2.142245073</v>
      </c>
      <c r="J551" s="22">
        <f t="shared" si="3"/>
        <v>1.090909091</v>
      </c>
      <c r="K551" s="22">
        <f t="shared" si="4"/>
        <v>0.00479493465</v>
      </c>
      <c r="L551" s="22">
        <f t="shared" si="5"/>
        <v>0.7032570819</v>
      </c>
      <c r="M551" s="22">
        <f t="shared" si="91"/>
        <v>0.4</v>
      </c>
      <c r="N551" s="22">
        <f t="shared" si="92"/>
        <v>0.5688862922</v>
      </c>
      <c r="O551" s="22">
        <f t="shared" si="93"/>
        <v>0.4183994926</v>
      </c>
      <c r="P551" s="22">
        <f t="shared" si="9"/>
        <v>1.120633066</v>
      </c>
    </row>
    <row r="552">
      <c r="A552" s="18" t="s">
        <v>40</v>
      </c>
      <c r="B552" s="8" t="s">
        <v>30</v>
      </c>
      <c r="C552" s="8">
        <v>23.0</v>
      </c>
      <c r="D552" s="19">
        <v>0.96</v>
      </c>
      <c r="E552" s="8">
        <v>0.85</v>
      </c>
      <c r="F552" s="8">
        <v>0.006</v>
      </c>
      <c r="G552" s="21">
        <v>222.9210562</v>
      </c>
      <c r="H552" s="22">
        <f t="shared" si="1"/>
        <v>0.4668</v>
      </c>
      <c r="I552" s="22">
        <f t="shared" si="2"/>
        <v>2.142245073</v>
      </c>
      <c r="J552" s="22">
        <f t="shared" si="3"/>
        <v>1.129411765</v>
      </c>
      <c r="K552" s="22">
        <f t="shared" si="4"/>
        <v>0.005066420301</v>
      </c>
      <c r="L552" s="22">
        <f t="shared" si="5"/>
        <v>0.717742876</v>
      </c>
      <c r="M552" s="22">
        <f t="shared" si="91"/>
        <v>0.4</v>
      </c>
      <c r="N552" s="22">
        <f t="shared" si="92"/>
        <v>0.542769832</v>
      </c>
      <c r="O552" s="22">
        <f t="shared" si="93"/>
        <v>0.4254822819</v>
      </c>
      <c r="P552" s="22">
        <f t="shared" si="9"/>
        <v>1.101978451</v>
      </c>
    </row>
    <row r="553">
      <c r="A553" s="18" t="s">
        <v>40</v>
      </c>
      <c r="B553" s="8" t="s">
        <v>30</v>
      </c>
      <c r="C553" s="8">
        <v>24.0</v>
      </c>
      <c r="D553" s="19">
        <v>0.96</v>
      </c>
      <c r="E553" s="8">
        <v>0.91</v>
      </c>
      <c r="F553" s="8">
        <v>0.007</v>
      </c>
      <c r="G553" s="21">
        <v>234.8610678</v>
      </c>
      <c r="H553" s="22">
        <f t="shared" si="1"/>
        <v>0.5446</v>
      </c>
      <c r="I553" s="22">
        <f t="shared" si="2"/>
        <v>1.836210062</v>
      </c>
      <c r="J553" s="22">
        <f t="shared" si="3"/>
        <v>1.054945055</v>
      </c>
      <c r="K553" s="22">
        <f t="shared" si="4"/>
        <v>0.00449178344</v>
      </c>
      <c r="L553" s="22">
        <f t="shared" si="5"/>
        <v>0.5839318471</v>
      </c>
      <c r="M553" s="22">
        <f t="shared" si="91"/>
        <v>0.6</v>
      </c>
      <c r="N553" s="22">
        <f t="shared" si="92"/>
        <v>0.6106807775</v>
      </c>
      <c r="O553" s="22">
        <f t="shared" si="93"/>
        <v>0.3565998819</v>
      </c>
      <c r="P553" s="22">
        <f t="shared" si="9"/>
        <v>1.006675486</v>
      </c>
    </row>
    <row r="554">
      <c r="A554" s="18" t="s">
        <v>40</v>
      </c>
      <c r="B554" s="8" t="s">
        <v>30</v>
      </c>
      <c r="C554" s="8">
        <v>25.0</v>
      </c>
      <c r="D554" s="19">
        <v>0.96</v>
      </c>
      <c r="E554" s="8">
        <v>1.01</v>
      </c>
      <c r="F554" s="8">
        <v>0.007</v>
      </c>
      <c r="G554" s="21">
        <v>264.4137114</v>
      </c>
      <c r="H554" s="22">
        <f t="shared" si="1"/>
        <v>0.5446</v>
      </c>
      <c r="I554" s="22">
        <f t="shared" si="2"/>
        <v>1.836210062</v>
      </c>
      <c r="J554" s="22">
        <f t="shared" si="3"/>
        <v>0.9504950495</v>
      </c>
      <c r="K554" s="22">
        <f t="shared" si="4"/>
        <v>0.003594726781</v>
      </c>
      <c r="L554" s="22">
        <f t="shared" si="5"/>
        <v>0.5186677212</v>
      </c>
      <c r="M554" s="22">
        <f t="shared" si="91"/>
        <v>0.6</v>
      </c>
      <c r="N554" s="22">
        <f t="shared" si="92"/>
        <v>0.7787667086</v>
      </c>
      <c r="O554" s="22">
        <f t="shared" si="93"/>
        <v>0.3229027012</v>
      </c>
      <c r="P554" s="22">
        <f t="shared" si="9"/>
        <v>1.111729193</v>
      </c>
    </row>
    <row r="555">
      <c r="A555" s="18" t="s">
        <v>40</v>
      </c>
      <c r="B555" s="8" t="s">
        <v>30</v>
      </c>
      <c r="C555" s="8">
        <v>26.0</v>
      </c>
      <c r="D555" s="19">
        <v>0.96</v>
      </c>
      <c r="E555" s="8">
        <v>0.83</v>
      </c>
      <c r="F555" s="8">
        <v>0.006</v>
      </c>
      <c r="G555" s="21">
        <v>212.9723849</v>
      </c>
      <c r="H555" s="22">
        <f t="shared" si="1"/>
        <v>0.4668</v>
      </c>
      <c r="I555" s="22">
        <f t="shared" si="2"/>
        <v>2.142245073</v>
      </c>
      <c r="J555" s="22">
        <f t="shared" si="3"/>
        <v>1.156626506</v>
      </c>
      <c r="K555" s="22">
        <f t="shared" si="4"/>
        <v>0.005430875494</v>
      </c>
      <c r="L555" s="22">
        <f t="shared" si="5"/>
        <v>0.75127111</v>
      </c>
      <c r="M555" s="22">
        <f t="shared" si="91"/>
        <v>0.4</v>
      </c>
      <c r="N555" s="22">
        <f t="shared" si="92"/>
        <v>0.4861849897</v>
      </c>
      <c r="O555" s="22">
        <f t="shared" si="93"/>
        <v>0.4416820471</v>
      </c>
      <c r="P555" s="22">
        <f t="shared" si="9"/>
        <v>1.061560707</v>
      </c>
    </row>
    <row r="556">
      <c r="A556" s="18" t="s">
        <v>40</v>
      </c>
      <c r="B556" s="8" t="s">
        <v>30</v>
      </c>
      <c r="C556" s="8">
        <v>27.0</v>
      </c>
      <c r="D556" s="19">
        <v>0.96</v>
      </c>
      <c r="E556" s="8">
        <v>0.66</v>
      </c>
      <c r="F556" s="8">
        <v>0.005</v>
      </c>
      <c r="G556" s="21">
        <v>173.6745302</v>
      </c>
      <c r="H556" s="22">
        <f t="shared" si="1"/>
        <v>0.389</v>
      </c>
      <c r="I556" s="22">
        <f t="shared" si="2"/>
        <v>2.570694087</v>
      </c>
      <c r="J556" s="22">
        <f t="shared" si="3"/>
        <v>1.454545455</v>
      </c>
      <c r="K556" s="22">
        <f t="shared" si="4"/>
        <v>0.008375122437</v>
      </c>
      <c r="L556" s="22">
        <f t="shared" si="5"/>
        <v>1.105516162</v>
      </c>
      <c r="M556" s="22">
        <f t="shared" si="91"/>
        <v>0.2</v>
      </c>
      <c r="N556" s="22">
        <f t="shared" si="92"/>
        <v>0.2626714325</v>
      </c>
      <c r="O556" s="22">
        <f t="shared" si="93"/>
        <v>0.6065115175</v>
      </c>
      <c r="P556" s="22">
        <f t="shared" si="9"/>
        <v>1.052226194</v>
      </c>
    </row>
    <row r="557">
      <c r="A557" s="18" t="s">
        <v>40</v>
      </c>
      <c r="B557" s="8" t="s">
        <v>30</v>
      </c>
      <c r="C557" s="8">
        <v>28.0</v>
      </c>
      <c r="D557" s="19">
        <v>0.96</v>
      </c>
      <c r="E557" s="8">
        <v>0.68</v>
      </c>
      <c r="F557" s="8">
        <v>0.005</v>
      </c>
      <c r="G557" s="21">
        <v>182.0905183</v>
      </c>
      <c r="H557" s="22">
        <f t="shared" si="1"/>
        <v>0.389</v>
      </c>
      <c r="I557" s="22">
        <f t="shared" si="2"/>
        <v>2.570694087</v>
      </c>
      <c r="J557" s="22">
        <f t="shared" si="3"/>
        <v>1.411764706</v>
      </c>
      <c r="K557" s="22">
        <f t="shared" si="4"/>
        <v>0.007753092907</v>
      </c>
      <c r="L557" s="22">
        <f t="shared" si="5"/>
        <v>1.054420635</v>
      </c>
      <c r="M557" s="22">
        <f t="shared" si="91"/>
        <v>0.2</v>
      </c>
      <c r="N557" s="22">
        <f t="shared" si="92"/>
        <v>0.3105388658</v>
      </c>
      <c r="O557" s="22">
        <f t="shared" si="93"/>
        <v>0.5843586838</v>
      </c>
      <c r="P557" s="22">
        <f t="shared" si="9"/>
        <v>1.092115721</v>
      </c>
    </row>
    <row r="558">
      <c r="A558" s="18" t="s">
        <v>40</v>
      </c>
      <c r="B558" s="8" t="s">
        <v>30</v>
      </c>
      <c r="C558" s="8">
        <v>29.0</v>
      </c>
      <c r="D558" s="19">
        <v>0.96</v>
      </c>
      <c r="E558" s="8">
        <v>0.87</v>
      </c>
      <c r="F558" s="8">
        <v>0.006</v>
      </c>
      <c r="G558" s="21">
        <v>228.2148212</v>
      </c>
      <c r="H558" s="22">
        <f t="shared" si="1"/>
        <v>0.4668</v>
      </c>
      <c r="I558" s="22">
        <f t="shared" si="2"/>
        <v>2.142245073</v>
      </c>
      <c r="J558" s="22">
        <f t="shared" si="3"/>
        <v>1.103448276</v>
      </c>
      <c r="K558" s="22">
        <f t="shared" si="4"/>
        <v>0.00483512977</v>
      </c>
      <c r="L558" s="22">
        <f t="shared" si="5"/>
        <v>0.7010938166</v>
      </c>
      <c r="M558" s="22">
        <f t="shared" si="91"/>
        <v>0.4</v>
      </c>
      <c r="N558" s="22">
        <f t="shared" si="92"/>
        <v>0.5728790646</v>
      </c>
      <c r="O558" s="22">
        <f t="shared" si="93"/>
        <v>0.4173373804</v>
      </c>
      <c r="P558" s="22">
        <f t="shared" si="9"/>
        <v>1.123485046</v>
      </c>
    </row>
    <row r="559">
      <c r="A559" s="18" t="s">
        <v>40</v>
      </c>
      <c r="B559" s="8" t="s">
        <v>30</v>
      </c>
      <c r="C559" s="8">
        <v>30.0</v>
      </c>
      <c r="D559" s="19">
        <v>0.96</v>
      </c>
      <c r="E559" s="8">
        <v>0.8</v>
      </c>
      <c r="F559" s="8">
        <v>0.006</v>
      </c>
      <c r="G559" s="21">
        <v>210.3894255</v>
      </c>
      <c r="H559" s="22">
        <f t="shared" si="1"/>
        <v>0.4668</v>
      </c>
      <c r="I559" s="22">
        <f t="shared" si="2"/>
        <v>2.142245073</v>
      </c>
      <c r="J559" s="22">
        <f t="shared" si="3"/>
        <v>1.2</v>
      </c>
      <c r="K559" s="22">
        <f t="shared" si="4"/>
        <v>0.005703708716</v>
      </c>
      <c r="L559" s="22">
        <f t="shared" si="5"/>
        <v>0.7604944955</v>
      </c>
      <c r="M559" s="22">
        <f t="shared" si="91"/>
        <v>0.4</v>
      </c>
      <c r="N559" s="22">
        <f t="shared" si="92"/>
        <v>0.4714939475</v>
      </c>
      <c r="O559" s="22">
        <f t="shared" si="93"/>
        <v>0.4460916946</v>
      </c>
      <c r="P559" s="22">
        <f t="shared" si="9"/>
        <v>1.051067105</v>
      </c>
    </row>
    <row r="560">
      <c r="A560" s="18" t="s">
        <v>40</v>
      </c>
      <c r="B560" s="8" t="s">
        <v>30</v>
      </c>
      <c r="C560" s="8">
        <v>31.0</v>
      </c>
      <c r="D560" s="19">
        <v>0.96</v>
      </c>
      <c r="E560" s="8">
        <v>0.63</v>
      </c>
      <c r="F560" s="8">
        <v>0.005</v>
      </c>
      <c r="G560" s="21">
        <v>168.0822307</v>
      </c>
      <c r="H560" s="22">
        <f t="shared" si="1"/>
        <v>0.389</v>
      </c>
      <c r="I560" s="22">
        <f t="shared" si="2"/>
        <v>2.570694087</v>
      </c>
      <c r="J560" s="22">
        <f t="shared" si="3"/>
        <v>1.523809524</v>
      </c>
      <c r="K560" s="22">
        <f t="shared" si="4"/>
        <v>0.009065857333</v>
      </c>
      <c r="L560" s="22">
        <f t="shared" si="5"/>
        <v>1.142298024</v>
      </c>
      <c r="M560" s="22">
        <f t="shared" si="91"/>
        <v>0.2</v>
      </c>
      <c r="N560" s="22">
        <f t="shared" si="92"/>
        <v>0.2308642317</v>
      </c>
      <c r="O560" s="22">
        <f t="shared" si="93"/>
        <v>0.6221845976</v>
      </c>
      <c r="P560" s="22">
        <f t="shared" si="9"/>
        <v>1.025720193</v>
      </c>
    </row>
    <row r="561">
      <c r="A561" s="18" t="s">
        <v>40</v>
      </c>
      <c r="B561" s="8" t="s">
        <v>30</v>
      </c>
      <c r="C561" s="8">
        <v>32.0</v>
      </c>
      <c r="D561" s="19">
        <v>0.96</v>
      </c>
      <c r="E561" s="8">
        <v>0.71</v>
      </c>
      <c r="F561" s="8">
        <v>0.005</v>
      </c>
      <c r="G561" s="21">
        <v>189.8719203</v>
      </c>
      <c r="H561" s="22">
        <f t="shared" si="1"/>
        <v>0.389</v>
      </c>
      <c r="I561" s="22">
        <f t="shared" si="2"/>
        <v>2.570694087</v>
      </c>
      <c r="J561" s="22">
        <f t="shared" si="3"/>
        <v>1.352112676</v>
      </c>
      <c r="K561" s="22">
        <f t="shared" si="4"/>
        <v>0.007121182921</v>
      </c>
      <c r="L561" s="22">
        <f t="shared" si="5"/>
        <v>1.011207975</v>
      </c>
      <c r="M561" s="22">
        <f t="shared" si="91"/>
        <v>0.2</v>
      </c>
      <c r="N561" s="22">
        <f t="shared" si="92"/>
        <v>0.3547969774</v>
      </c>
      <c r="O561" s="22">
        <f t="shared" si="93"/>
        <v>0.5652690251</v>
      </c>
      <c r="P561" s="22">
        <f t="shared" si="9"/>
        <v>1.128997481</v>
      </c>
    </row>
    <row r="562">
      <c r="A562" s="18" t="s">
        <v>40</v>
      </c>
      <c r="B562" s="8" t="s">
        <v>30</v>
      </c>
      <c r="C562" s="8">
        <v>33.0</v>
      </c>
      <c r="D562" s="19">
        <v>0.96</v>
      </c>
      <c r="E562" s="8">
        <v>0.66</v>
      </c>
      <c r="F562" s="8">
        <v>0.005</v>
      </c>
      <c r="G562" s="21">
        <v>176.2979494</v>
      </c>
      <c r="H562" s="22">
        <f t="shared" si="1"/>
        <v>0.389</v>
      </c>
      <c r="I562" s="22">
        <f t="shared" si="2"/>
        <v>2.570694087</v>
      </c>
      <c r="J562" s="22">
        <f t="shared" si="3"/>
        <v>1.454545455</v>
      </c>
      <c r="K562" s="22">
        <f t="shared" si="4"/>
        <v>0.008250495593</v>
      </c>
      <c r="L562" s="22">
        <f t="shared" si="5"/>
        <v>1.089065418</v>
      </c>
      <c r="M562" s="22">
        <f t="shared" si="91"/>
        <v>0.2</v>
      </c>
      <c r="N562" s="22">
        <f t="shared" si="92"/>
        <v>0.2775925971</v>
      </c>
      <c r="O562" s="22">
        <f t="shared" si="93"/>
        <v>0.5994279933</v>
      </c>
      <c r="P562" s="22">
        <f t="shared" si="9"/>
        <v>1.064660498</v>
      </c>
    </row>
    <row r="563">
      <c r="A563" s="18" t="s">
        <v>40</v>
      </c>
      <c r="B563" s="8" t="s">
        <v>80</v>
      </c>
      <c r="C563" s="8">
        <v>1.0</v>
      </c>
      <c r="D563" s="19">
        <v>0.96</v>
      </c>
      <c r="E563" s="8">
        <v>2.12</v>
      </c>
      <c r="F563" s="8">
        <v>0.006</v>
      </c>
      <c r="G563" s="21">
        <v>227.428079323999</v>
      </c>
      <c r="H563" s="22">
        <f t="shared" si="1"/>
        <v>0.4668</v>
      </c>
      <c r="I563" s="22">
        <f t="shared" si="2"/>
        <v>2.142245073</v>
      </c>
      <c r="J563" s="22">
        <f t="shared" si="3"/>
        <v>0.4528301887</v>
      </c>
      <c r="K563" s="22">
        <f t="shared" si="4"/>
        <v>0.001991091821</v>
      </c>
      <c r="L563" s="22">
        <f t="shared" si="5"/>
        <v>0.7035191102</v>
      </c>
      <c r="M563" s="22">
        <f t="shared" si="91"/>
        <v>0.4</v>
      </c>
      <c r="N563" s="22">
        <f t="shared" si="92"/>
        <v>0.5684043299</v>
      </c>
      <c r="O563" s="22">
        <f t="shared" si="93"/>
        <v>0.4185280645</v>
      </c>
      <c r="P563" s="22">
        <f t="shared" si="9"/>
        <v>1.120288807</v>
      </c>
    </row>
    <row r="564">
      <c r="A564" s="18" t="s">
        <v>40</v>
      </c>
      <c r="B564" s="8" t="s">
        <v>80</v>
      </c>
      <c r="C564" s="8">
        <v>2.0</v>
      </c>
      <c r="D564" s="19">
        <v>0.96</v>
      </c>
      <c r="E564" s="8">
        <v>1.98</v>
      </c>
      <c r="F564" s="8">
        <v>0.006</v>
      </c>
      <c r="G564" s="21">
        <v>211.511299239</v>
      </c>
      <c r="H564" s="22">
        <f t="shared" si="1"/>
        <v>0.4668</v>
      </c>
      <c r="I564" s="22">
        <f t="shared" si="2"/>
        <v>2.142245073</v>
      </c>
      <c r="J564" s="22">
        <f t="shared" si="3"/>
        <v>0.4848484848</v>
      </c>
      <c r="K564" s="22">
        <f t="shared" si="4"/>
        <v>0.00229230536</v>
      </c>
      <c r="L564" s="22">
        <f t="shared" si="5"/>
        <v>0.7564607686</v>
      </c>
      <c r="M564" s="22">
        <f t="shared" si="91"/>
        <v>0.4</v>
      </c>
      <c r="N564" s="22">
        <f t="shared" si="92"/>
        <v>0.4778748044</v>
      </c>
      <c r="O564" s="22">
        <f t="shared" si="93"/>
        <v>0.4441656537</v>
      </c>
      <c r="P564" s="22">
        <f t="shared" si="9"/>
        <v>1.05562486</v>
      </c>
    </row>
    <row r="565">
      <c r="A565" s="18" t="s">
        <v>40</v>
      </c>
      <c r="B565" s="8" t="s">
        <v>80</v>
      </c>
      <c r="C565" s="8">
        <v>3.0</v>
      </c>
      <c r="D565" s="19">
        <v>0.96</v>
      </c>
      <c r="E565" s="8">
        <v>2.06</v>
      </c>
      <c r="F565" s="8">
        <v>0.006</v>
      </c>
      <c r="G565" s="21">
        <v>221.735156140999</v>
      </c>
      <c r="H565" s="22">
        <f t="shared" si="1"/>
        <v>0.4668</v>
      </c>
      <c r="I565" s="22">
        <f t="shared" si="2"/>
        <v>2.142245073</v>
      </c>
      <c r="J565" s="22">
        <f t="shared" si="3"/>
        <v>0.4660194175</v>
      </c>
      <c r="K565" s="22">
        <f t="shared" si="4"/>
        <v>0.002101693866</v>
      </c>
      <c r="L565" s="22">
        <f t="shared" si="5"/>
        <v>0.7215815606</v>
      </c>
      <c r="M565" s="22">
        <f t="shared" si="91"/>
        <v>0.4</v>
      </c>
      <c r="N565" s="22">
        <f t="shared" si="92"/>
        <v>0.536024814</v>
      </c>
      <c r="O565" s="22">
        <f t="shared" si="93"/>
        <v>0.4273506669</v>
      </c>
      <c r="P565" s="22">
        <f t="shared" si="9"/>
        <v>1.097160581</v>
      </c>
    </row>
    <row r="566">
      <c r="A566" s="18" t="s">
        <v>40</v>
      </c>
      <c r="B566" s="8" t="s">
        <v>80</v>
      </c>
      <c r="C566" s="8">
        <v>4.0</v>
      </c>
      <c r="D566" s="19">
        <v>0.96</v>
      </c>
      <c r="E566" s="8">
        <v>1.73</v>
      </c>
      <c r="F566" s="8">
        <v>0.005</v>
      </c>
      <c r="G566" s="21">
        <v>185.670360791</v>
      </c>
      <c r="H566" s="22">
        <f t="shared" si="1"/>
        <v>0.389</v>
      </c>
      <c r="I566" s="22">
        <f t="shared" si="2"/>
        <v>2.570694087</v>
      </c>
      <c r="J566" s="22">
        <f t="shared" si="3"/>
        <v>0.5549132948</v>
      </c>
      <c r="K566" s="22">
        <f t="shared" si="4"/>
        <v>0.002988701548</v>
      </c>
      <c r="L566" s="22">
        <f t="shared" si="5"/>
        <v>1.034090736</v>
      </c>
      <c r="M566" s="22">
        <f t="shared" si="91"/>
        <v>0.2</v>
      </c>
      <c r="N566" s="22">
        <f t="shared" si="92"/>
        <v>0.3308998584</v>
      </c>
      <c r="O566" s="22">
        <f t="shared" si="93"/>
        <v>0.5754187754</v>
      </c>
      <c r="P566" s="22">
        <f t="shared" si="9"/>
        <v>1.109083215</v>
      </c>
    </row>
    <row r="567">
      <c r="A567" s="18" t="s">
        <v>40</v>
      </c>
      <c r="B567" s="8" t="s">
        <v>80</v>
      </c>
      <c r="C567" s="8">
        <v>5.0</v>
      </c>
      <c r="D567" s="19">
        <v>0.96</v>
      </c>
      <c r="E567" s="8">
        <v>2.19</v>
      </c>
      <c r="F567" s="8">
        <v>0.006</v>
      </c>
      <c r="G567" s="21">
        <v>224.549927539</v>
      </c>
      <c r="H567" s="22">
        <f t="shared" si="1"/>
        <v>0.4668</v>
      </c>
      <c r="I567" s="22">
        <f t="shared" si="2"/>
        <v>2.142245073</v>
      </c>
      <c r="J567" s="22">
        <f t="shared" si="3"/>
        <v>0.4383561644</v>
      </c>
      <c r="K567" s="22">
        <f t="shared" si="4"/>
        <v>0.001952154557</v>
      </c>
      <c r="L567" s="22">
        <f t="shared" si="5"/>
        <v>0.7125364134</v>
      </c>
      <c r="M567" s="22">
        <f t="shared" si="91"/>
        <v>0.4</v>
      </c>
      <c r="N567" s="22">
        <f t="shared" si="92"/>
        <v>0.5520343283</v>
      </c>
      <c r="O567" s="22">
        <f t="shared" si="93"/>
        <v>0.4229424676</v>
      </c>
      <c r="P567" s="22">
        <f t="shared" si="9"/>
        <v>1.108595949</v>
      </c>
    </row>
    <row r="568">
      <c r="A568" s="18" t="s">
        <v>40</v>
      </c>
      <c r="B568" s="8" t="s">
        <v>80</v>
      </c>
      <c r="C568" s="8">
        <v>6.0</v>
      </c>
      <c r="D568" s="19">
        <v>0.96</v>
      </c>
      <c r="E568" s="8">
        <v>2.62</v>
      </c>
      <c r="F568" s="8">
        <v>0.008</v>
      </c>
      <c r="G568" s="21">
        <v>266.198576679</v>
      </c>
      <c r="H568" s="22">
        <f t="shared" si="1"/>
        <v>0.6224</v>
      </c>
      <c r="I568" s="22">
        <f t="shared" si="2"/>
        <v>1.606683805</v>
      </c>
      <c r="J568" s="22">
        <f t="shared" si="3"/>
        <v>0.3664122137</v>
      </c>
      <c r="K568" s="22">
        <f t="shared" si="4"/>
        <v>0.001376461957</v>
      </c>
      <c r="L568" s="22">
        <f t="shared" si="5"/>
        <v>0.4507912908</v>
      </c>
      <c r="M568" s="22">
        <f t="shared" si="91"/>
        <v>0.8</v>
      </c>
      <c r="N568" s="22">
        <f t="shared" si="92"/>
        <v>0.7889184482</v>
      </c>
      <c r="O568" s="22">
        <f t="shared" si="93"/>
        <v>0.2853958183</v>
      </c>
      <c r="P568" s="22">
        <f t="shared" si="9"/>
        <v>0.9938435823</v>
      </c>
    </row>
    <row r="569">
      <c r="A569" s="18" t="s">
        <v>40</v>
      </c>
      <c r="B569" s="8" t="s">
        <v>80</v>
      </c>
      <c r="C569" s="8">
        <v>7.0</v>
      </c>
      <c r="D569" s="19">
        <v>0.96</v>
      </c>
      <c r="E569" s="8">
        <v>2.28</v>
      </c>
      <c r="F569" s="8">
        <v>0.007</v>
      </c>
      <c r="G569" s="21">
        <v>231.67109983</v>
      </c>
      <c r="H569" s="22">
        <f t="shared" si="1"/>
        <v>0.5446</v>
      </c>
      <c r="I569" s="22">
        <f t="shared" si="2"/>
        <v>1.836210062</v>
      </c>
      <c r="J569" s="22">
        <f t="shared" si="3"/>
        <v>0.4210526316</v>
      </c>
      <c r="K569" s="22">
        <f t="shared" si="4"/>
        <v>0.001817458595</v>
      </c>
      <c r="L569" s="22">
        <f t="shared" si="5"/>
        <v>0.5919722281</v>
      </c>
      <c r="M569" s="22">
        <f t="shared" si="91"/>
        <v>0.6</v>
      </c>
      <c r="N569" s="22">
        <f t="shared" si="92"/>
        <v>0.5925372657</v>
      </c>
      <c r="O569" s="22">
        <f t="shared" si="93"/>
        <v>0.3606625649</v>
      </c>
      <c r="P569" s="22">
        <f t="shared" si="9"/>
        <v>0.9953357911</v>
      </c>
    </row>
    <row r="570">
      <c r="A570" s="18" t="s">
        <v>40</v>
      </c>
      <c r="B570" s="8" t="s">
        <v>80</v>
      </c>
      <c r="C570" s="8">
        <v>8.0</v>
      </c>
      <c r="D570" s="19">
        <v>0.96</v>
      </c>
      <c r="E570" s="8">
        <v>2.95</v>
      </c>
      <c r="F570" s="8">
        <v>0.008</v>
      </c>
      <c r="G570" s="21">
        <v>297.096991358999</v>
      </c>
      <c r="H570" s="22">
        <f t="shared" si="1"/>
        <v>0.6224</v>
      </c>
      <c r="I570" s="22">
        <f t="shared" si="2"/>
        <v>1.606683805</v>
      </c>
      <c r="J570" s="22">
        <f t="shared" si="3"/>
        <v>0.3254237288</v>
      </c>
      <c r="K570" s="22">
        <f t="shared" si="4"/>
        <v>0.001095345084</v>
      </c>
      <c r="L570" s="22">
        <f t="shared" si="5"/>
        <v>0.4039084995</v>
      </c>
      <c r="M570" s="22">
        <f t="shared" si="91"/>
        <v>0.8</v>
      </c>
      <c r="N570" s="22">
        <f t="shared" si="92"/>
        <v>0.9646586923</v>
      </c>
      <c r="O570" s="22">
        <f t="shared" si="93"/>
        <v>0.259866941</v>
      </c>
      <c r="P570" s="22">
        <f t="shared" si="9"/>
        <v>1.091477051</v>
      </c>
    </row>
    <row r="571">
      <c r="A571" s="18" t="s">
        <v>40</v>
      </c>
      <c r="B571" s="8" t="s">
        <v>80</v>
      </c>
      <c r="C571" s="8">
        <v>9.0</v>
      </c>
      <c r="D571" s="19">
        <v>0.96</v>
      </c>
      <c r="E571" s="8">
        <v>2.11</v>
      </c>
      <c r="F571" s="8">
        <v>0.006</v>
      </c>
      <c r="G571" s="21">
        <v>215.594245475</v>
      </c>
      <c r="H571" s="22">
        <f t="shared" si="1"/>
        <v>0.4668</v>
      </c>
      <c r="I571" s="22">
        <f t="shared" si="2"/>
        <v>2.142245073</v>
      </c>
      <c r="J571" s="22">
        <f t="shared" si="3"/>
        <v>0.4549763033</v>
      </c>
      <c r="K571" s="22">
        <f t="shared" si="4"/>
        <v>0.002110336026</v>
      </c>
      <c r="L571" s="22">
        <f t="shared" si="5"/>
        <v>0.742134836</v>
      </c>
      <c r="M571" s="22">
        <f t="shared" si="91"/>
        <v>0.4</v>
      </c>
      <c r="N571" s="22">
        <f t="shared" si="92"/>
        <v>0.5010972893</v>
      </c>
      <c r="O571" s="22">
        <f t="shared" si="93"/>
        <v>0.4372942602</v>
      </c>
      <c r="P571" s="22">
        <f t="shared" si="9"/>
        <v>1.07221235</v>
      </c>
    </row>
    <row r="572">
      <c r="A572" s="18" t="s">
        <v>40</v>
      </c>
      <c r="B572" s="8" t="s">
        <v>80</v>
      </c>
      <c r="C572" s="8">
        <v>10.0</v>
      </c>
      <c r="D572" s="19">
        <v>0.96</v>
      </c>
      <c r="E572" s="8">
        <v>2.42</v>
      </c>
      <c r="F572" s="8">
        <v>0.007</v>
      </c>
      <c r="G572" s="21">
        <v>246.296250976</v>
      </c>
      <c r="H572" s="22">
        <f t="shared" si="1"/>
        <v>0.5446</v>
      </c>
      <c r="I572" s="22">
        <f t="shared" si="2"/>
        <v>1.836210062</v>
      </c>
      <c r="J572" s="22">
        <f t="shared" si="3"/>
        <v>0.3966942149</v>
      </c>
      <c r="K572" s="22">
        <f t="shared" si="4"/>
        <v>0.001610638462</v>
      </c>
      <c r="L572" s="22">
        <f t="shared" si="5"/>
        <v>0.5568207254</v>
      </c>
      <c r="M572" s="22">
        <f t="shared" si="91"/>
        <v>0.6</v>
      </c>
      <c r="N572" s="22">
        <f t="shared" si="92"/>
        <v>0.6757204212</v>
      </c>
      <c r="O572" s="22">
        <f t="shared" si="93"/>
        <v>0.3427591904</v>
      </c>
      <c r="P572" s="22">
        <f t="shared" si="9"/>
        <v>1.047325263</v>
      </c>
    </row>
    <row r="573">
      <c r="A573" s="18" t="s">
        <v>40</v>
      </c>
      <c r="B573" s="8" t="s">
        <v>80</v>
      </c>
      <c r="C573" s="8">
        <v>11.0</v>
      </c>
      <c r="D573" s="19">
        <v>0.96</v>
      </c>
      <c r="E573" s="8">
        <v>1.94</v>
      </c>
      <c r="F573" s="8">
        <v>0.006</v>
      </c>
      <c r="G573" s="21">
        <v>201.014512099999</v>
      </c>
      <c r="H573" s="22">
        <f t="shared" si="1"/>
        <v>0.4668</v>
      </c>
      <c r="I573" s="22">
        <f t="shared" si="2"/>
        <v>2.142245073</v>
      </c>
      <c r="J573" s="22">
        <f t="shared" si="3"/>
        <v>0.4948453608</v>
      </c>
      <c r="K573" s="22">
        <f t="shared" si="4"/>
        <v>0.002461739482</v>
      </c>
      <c r="L573" s="22">
        <f t="shared" si="5"/>
        <v>0.7959624324</v>
      </c>
      <c r="M573" s="22">
        <f t="shared" si="91"/>
        <v>0.4</v>
      </c>
      <c r="N573" s="22">
        <f t="shared" si="92"/>
        <v>0.4181724555</v>
      </c>
      <c r="O573" s="22">
        <f t="shared" si="93"/>
        <v>0.4628641785</v>
      </c>
      <c r="P573" s="22">
        <f t="shared" si="9"/>
        <v>1.012980325</v>
      </c>
    </row>
    <row r="574">
      <c r="A574" s="18" t="s">
        <v>40</v>
      </c>
      <c r="B574" s="8" t="s">
        <v>80</v>
      </c>
      <c r="C574" s="8">
        <v>12.0</v>
      </c>
      <c r="D574" s="19">
        <v>0.96</v>
      </c>
      <c r="E574" s="8">
        <v>1.75</v>
      </c>
      <c r="F574" s="8">
        <v>0.005</v>
      </c>
      <c r="G574" s="21">
        <v>180.781578383</v>
      </c>
      <c r="H574" s="22">
        <f t="shared" si="1"/>
        <v>0.389</v>
      </c>
      <c r="I574" s="22">
        <f t="shared" si="2"/>
        <v>2.570694087</v>
      </c>
      <c r="J574" s="22">
        <f t="shared" si="3"/>
        <v>0.5485714286</v>
      </c>
      <c r="K574" s="22">
        <f t="shared" si="4"/>
        <v>0.003034443185</v>
      </c>
      <c r="L574" s="22">
        <f t="shared" si="5"/>
        <v>1.062055115</v>
      </c>
      <c r="M574" s="22">
        <f t="shared" si="91"/>
        <v>0.2</v>
      </c>
      <c r="N574" s="22">
        <f t="shared" si="92"/>
        <v>0.3030940365</v>
      </c>
      <c r="O574" s="22">
        <f t="shared" si="93"/>
        <v>0.5876972384</v>
      </c>
      <c r="P574" s="22">
        <f t="shared" si="9"/>
        <v>1.085911697</v>
      </c>
    </row>
    <row r="575">
      <c r="A575" s="18" t="s">
        <v>40</v>
      </c>
      <c r="B575" s="8" t="s">
        <v>80</v>
      </c>
      <c r="C575" s="8">
        <v>13.0</v>
      </c>
      <c r="D575" s="19">
        <v>0.96</v>
      </c>
      <c r="E575" s="8">
        <v>2.09</v>
      </c>
      <c r="F575" s="8">
        <v>0.006</v>
      </c>
      <c r="G575" s="21">
        <v>214.195631299</v>
      </c>
      <c r="H575" s="22">
        <f t="shared" si="1"/>
        <v>0.4668</v>
      </c>
      <c r="I575" s="22">
        <f t="shared" si="2"/>
        <v>2.142245073</v>
      </c>
      <c r="J575" s="22">
        <f t="shared" si="3"/>
        <v>0.4593301435</v>
      </c>
      <c r="K575" s="22">
        <f t="shared" si="4"/>
        <v>0.002144442166</v>
      </c>
      <c r="L575" s="22">
        <f t="shared" si="5"/>
        <v>0.7469806878</v>
      </c>
      <c r="M575" s="22">
        <f t="shared" si="91"/>
        <v>0.4</v>
      </c>
      <c r="N575" s="22">
        <f t="shared" si="92"/>
        <v>0.4931424218</v>
      </c>
      <c r="O575" s="22">
        <f t="shared" si="93"/>
        <v>0.4396239896</v>
      </c>
      <c r="P575" s="22">
        <f t="shared" si="9"/>
        <v>1.066530301</v>
      </c>
    </row>
    <row r="576">
      <c r="A576" s="18" t="s">
        <v>40</v>
      </c>
      <c r="B576" s="8" t="s">
        <v>80</v>
      </c>
      <c r="C576" s="8">
        <v>14.0</v>
      </c>
      <c r="D576" s="19">
        <v>0.96</v>
      </c>
      <c r="E576" s="8">
        <v>2.68</v>
      </c>
      <c r="F576" s="8">
        <v>0.008</v>
      </c>
      <c r="G576" s="21">
        <v>271.526414193</v>
      </c>
      <c r="H576" s="22">
        <f t="shared" si="1"/>
        <v>0.6224</v>
      </c>
      <c r="I576" s="22">
        <f t="shared" si="2"/>
        <v>1.606683805</v>
      </c>
      <c r="J576" s="22">
        <f t="shared" si="3"/>
        <v>0.3582089552</v>
      </c>
      <c r="K576" s="22">
        <f t="shared" si="4"/>
        <v>0.001319241652</v>
      </c>
      <c r="L576" s="22">
        <f t="shared" si="5"/>
        <v>0.4419459534</v>
      </c>
      <c r="M576" s="22">
        <f t="shared" si="91"/>
        <v>0.8</v>
      </c>
      <c r="N576" s="22">
        <f t="shared" si="92"/>
        <v>0.8192214742</v>
      </c>
      <c r="O576" s="22">
        <f t="shared" si="93"/>
        <v>0.2806419403</v>
      </c>
      <c r="P576" s="22">
        <f t="shared" si="9"/>
        <v>1.010678597</v>
      </c>
    </row>
    <row r="577">
      <c r="A577" s="18" t="s">
        <v>40</v>
      </c>
      <c r="B577" s="8" t="s">
        <v>80</v>
      </c>
      <c r="C577" s="8">
        <v>15.0</v>
      </c>
      <c r="D577" s="19">
        <v>0.96</v>
      </c>
      <c r="E577" s="8">
        <v>2.09</v>
      </c>
      <c r="F577" s="8">
        <v>0.006</v>
      </c>
      <c r="G577" s="21">
        <v>212.989899842</v>
      </c>
      <c r="H577" s="22">
        <f t="shared" si="1"/>
        <v>0.4668</v>
      </c>
      <c r="I577" s="22">
        <f t="shared" si="2"/>
        <v>2.142245073</v>
      </c>
      <c r="J577" s="22">
        <f t="shared" si="3"/>
        <v>0.4593301435</v>
      </c>
      <c r="K577" s="22">
        <f t="shared" si="4"/>
        <v>0.002156581809</v>
      </c>
      <c r="L577" s="22">
        <f t="shared" si="5"/>
        <v>0.7512093302</v>
      </c>
      <c r="M577" s="22">
        <f t="shared" si="91"/>
        <v>0.4</v>
      </c>
      <c r="N577" s="22">
        <f t="shared" si="92"/>
        <v>0.4862846091</v>
      </c>
      <c r="O577" s="22">
        <f t="shared" si="93"/>
        <v>0.441652443</v>
      </c>
      <c r="P577" s="22">
        <f t="shared" si="9"/>
        <v>1.061631864</v>
      </c>
    </row>
    <row r="578">
      <c r="A578" s="18" t="s">
        <v>40</v>
      </c>
      <c r="B578" s="8" t="s">
        <v>80</v>
      </c>
      <c r="C578" s="8">
        <v>16.0</v>
      </c>
      <c r="D578" s="19">
        <v>0.96</v>
      </c>
      <c r="E578" s="8">
        <v>2.56</v>
      </c>
      <c r="F578" s="8">
        <v>0.007</v>
      </c>
      <c r="G578" s="21">
        <v>256.715775843999</v>
      </c>
      <c r="H578" s="22">
        <f t="shared" si="1"/>
        <v>0.5446</v>
      </c>
      <c r="I578" s="22">
        <f t="shared" si="2"/>
        <v>1.836210062</v>
      </c>
      <c r="J578" s="22">
        <f t="shared" si="3"/>
        <v>0.375</v>
      </c>
      <c r="K578" s="22">
        <f t="shared" si="4"/>
        <v>0.001460759467</v>
      </c>
      <c r="L578" s="22">
        <f t="shared" si="5"/>
        <v>0.5342206052</v>
      </c>
      <c r="M578" s="22">
        <f t="shared" si="91"/>
        <v>0.6</v>
      </c>
      <c r="N578" s="22">
        <f t="shared" si="92"/>
        <v>0.7349833272</v>
      </c>
      <c r="O578" s="22">
        <f t="shared" si="93"/>
        <v>0.3310513513</v>
      </c>
      <c r="P578" s="22">
        <f t="shared" si="9"/>
        <v>1.084364579</v>
      </c>
    </row>
    <row r="579">
      <c r="A579" s="18" t="s">
        <v>40</v>
      </c>
      <c r="B579" s="8" t="s">
        <v>80</v>
      </c>
      <c r="C579" s="8">
        <v>17.0</v>
      </c>
      <c r="D579" s="19">
        <v>0.96</v>
      </c>
      <c r="E579" s="8">
        <v>2.47</v>
      </c>
      <c r="F579" s="8">
        <v>0.007</v>
      </c>
      <c r="G579" s="21">
        <v>246.992341005</v>
      </c>
      <c r="H579" s="22">
        <f t="shared" si="1"/>
        <v>0.5446</v>
      </c>
      <c r="I579" s="22">
        <f t="shared" si="2"/>
        <v>1.836210062</v>
      </c>
      <c r="J579" s="22">
        <f t="shared" si="3"/>
        <v>0.3886639676</v>
      </c>
      <c r="K579" s="22">
        <f t="shared" si="4"/>
        <v>0.001573587124</v>
      </c>
      <c r="L579" s="22">
        <f t="shared" si="5"/>
        <v>0.5552514567</v>
      </c>
      <c r="M579" s="22">
        <f t="shared" si="91"/>
        <v>0.6</v>
      </c>
      <c r="N579" s="22">
        <f t="shared" si="92"/>
        <v>0.6796795574</v>
      </c>
      <c r="O579" s="22">
        <f t="shared" si="93"/>
        <v>0.3419512802</v>
      </c>
      <c r="P579" s="22">
        <f t="shared" si="9"/>
        <v>1.049799723</v>
      </c>
    </row>
    <row r="580">
      <c r="A580" s="18" t="s">
        <v>40</v>
      </c>
      <c r="B580" s="8" t="s">
        <v>80</v>
      </c>
      <c r="C580" s="8">
        <v>18.0</v>
      </c>
      <c r="D580" s="19">
        <v>0.96</v>
      </c>
      <c r="E580" s="8">
        <v>2.41</v>
      </c>
      <c r="F580" s="8">
        <v>0.007</v>
      </c>
      <c r="G580" s="21">
        <v>244.221984982</v>
      </c>
      <c r="H580" s="22">
        <f t="shared" si="1"/>
        <v>0.5446</v>
      </c>
      <c r="I580" s="22">
        <f t="shared" si="2"/>
        <v>1.836210062</v>
      </c>
      <c r="J580" s="22">
        <f t="shared" si="3"/>
        <v>0.398340249</v>
      </c>
      <c r="K580" s="22">
        <f t="shared" si="4"/>
        <v>0.001631058109</v>
      </c>
      <c r="L580" s="22">
        <f t="shared" si="5"/>
        <v>0.561550006</v>
      </c>
      <c r="M580" s="22">
        <f t="shared" si="91"/>
        <v>0.6</v>
      </c>
      <c r="N580" s="22">
        <f t="shared" si="92"/>
        <v>0.6639226634</v>
      </c>
      <c r="O580" s="22">
        <f t="shared" si="93"/>
        <v>0.3451894656</v>
      </c>
      <c r="P580" s="22">
        <f t="shared" si="9"/>
        <v>1.039951665</v>
      </c>
    </row>
    <row r="581">
      <c r="A581" s="18" t="s">
        <v>40</v>
      </c>
      <c r="B581" s="8" t="s">
        <v>80</v>
      </c>
      <c r="C581" s="8">
        <v>19.0</v>
      </c>
      <c r="D581" s="19">
        <v>0.96</v>
      </c>
      <c r="E581" s="8">
        <v>1.91</v>
      </c>
      <c r="F581" s="8">
        <v>0.005</v>
      </c>
      <c r="G581" s="21">
        <v>195.517454453</v>
      </c>
      <c r="H581" s="22">
        <f t="shared" si="1"/>
        <v>0.389</v>
      </c>
      <c r="I581" s="22">
        <f t="shared" si="2"/>
        <v>2.570694087</v>
      </c>
      <c r="J581" s="22">
        <f t="shared" si="3"/>
        <v>0.502617801</v>
      </c>
      <c r="K581" s="22">
        <f t="shared" si="4"/>
        <v>0.002570705528</v>
      </c>
      <c r="L581" s="22">
        <f t="shared" si="5"/>
        <v>0.9820095118</v>
      </c>
      <c r="M581" s="22">
        <f t="shared" si="91"/>
        <v>0.2</v>
      </c>
      <c r="N581" s="22">
        <f t="shared" si="92"/>
        <v>0.3869069598</v>
      </c>
      <c r="O581" s="22">
        <f t="shared" si="93"/>
        <v>0.5521817893</v>
      </c>
      <c r="P581" s="22">
        <f t="shared" si="9"/>
        <v>1.1557558</v>
      </c>
    </row>
    <row r="582">
      <c r="A582" s="18" t="s">
        <v>40</v>
      </c>
      <c r="B582" s="8" t="s">
        <v>80</v>
      </c>
      <c r="C582" s="8">
        <v>20.0</v>
      </c>
      <c r="D582" s="19">
        <v>0.96</v>
      </c>
      <c r="E582" s="8">
        <v>2.21</v>
      </c>
      <c r="F582" s="8">
        <v>0.006</v>
      </c>
      <c r="G582" s="21">
        <v>225.007461899999</v>
      </c>
      <c r="H582" s="22">
        <f t="shared" si="1"/>
        <v>0.4668</v>
      </c>
      <c r="I582" s="22">
        <f t="shared" si="2"/>
        <v>2.142245073</v>
      </c>
      <c r="J582" s="22">
        <f t="shared" si="3"/>
        <v>0.4343891403</v>
      </c>
      <c r="K582" s="22">
        <f t="shared" si="4"/>
        <v>0.001930554376</v>
      </c>
      <c r="L582" s="22">
        <f t="shared" si="5"/>
        <v>0.7110875286</v>
      </c>
      <c r="M582" s="22">
        <f t="shared" si="91"/>
        <v>0.4</v>
      </c>
      <c r="N582" s="22">
        <f t="shared" si="92"/>
        <v>0.5546366366</v>
      </c>
      <c r="O582" s="22">
        <f t="shared" si="93"/>
        <v>0.4222345036</v>
      </c>
      <c r="P582" s="22">
        <f t="shared" si="9"/>
        <v>1.11045474</v>
      </c>
    </row>
    <row r="583">
      <c r="A583" s="18" t="s">
        <v>40</v>
      </c>
      <c r="B583" s="8" t="s">
        <v>80</v>
      </c>
      <c r="C583" s="8">
        <v>21.0</v>
      </c>
      <c r="D583" s="19">
        <v>0.96</v>
      </c>
      <c r="E583" s="8">
        <v>1.88</v>
      </c>
      <c r="F583" s="8">
        <v>0.005</v>
      </c>
      <c r="G583" s="21">
        <v>193.922492226999</v>
      </c>
      <c r="H583" s="22">
        <f t="shared" si="1"/>
        <v>0.389</v>
      </c>
      <c r="I583" s="22">
        <f t="shared" si="2"/>
        <v>2.570694087</v>
      </c>
      <c r="J583" s="22">
        <f t="shared" si="3"/>
        <v>0.5106382979</v>
      </c>
      <c r="K583" s="22">
        <f t="shared" si="4"/>
        <v>0.002633208206</v>
      </c>
      <c r="L583" s="22">
        <f t="shared" si="5"/>
        <v>0.9900862855</v>
      </c>
      <c r="M583" s="22">
        <f t="shared" si="91"/>
        <v>0.2</v>
      </c>
      <c r="N583" s="22">
        <f t="shared" si="92"/>
        <v>0.3778353277</v>
      </c>
      <c r="O583" s="22">
        <f t="shared" si="93"/>
        <v>0.5558173399</v>
      </c>
      <c r="P583" s="22">
        <f t="shared" si="9"/>
        <v>1.148196106</v>
      </c>
    </row>
    <row r="584">
      <c r="A584" s="18" t="s">
        <v>40</v>
      </c>
      <c r="B584" s="8" t="s">
        <v>80</v>
      </c>
      <c r="C584" s="8">
        <v>22.0</v>
      </c>
      <c r="D584" s="19">
        <v>0.96</v>
      </c>
      <c r="E584" s="8">
        <v>2.39</v>
      </c>
      <c r="F584" s="8">
        <v>0.007</v>
      </c>
      <c r="G584" s="21">
        <v>236.633524754</v>
      </c>
      <c r="H584" s="22">
        <f t="shared" si="1"/>
        <v>0.5446</v>
      </c>
      <c r="I584" s="22">
        <f t="shared" si="2"/>
        <v>1.836210062</v>
      </c>
      <c r="J584" s="22">
        <f t="shared" si="3"/>
        <v>0.4016736402</v>
      </c>
      <c r="K584" s="22">
        <f t="shared" si="4"/>
        <v>0.001697450269</v>
      </c>
      <c r="L584" s="22">
        <f t="shared" si="5"/>
        <v>0.5795580203</v>
      </c>
      <c r="M584" s="22">
        <f t="shared" si="91"/>
        <v>0.6</v>
      </c>
      <c r="N584" s="22">
        <f t="shared" si="92"/>
        <v>0.6207619425</v>
      </c>
      <c r="O584" s="22">
        <f t="shared" si="93"/>
        <v>0.3543818249</v>
      </c>
      <c r="P584" s="22">
        <f t="shared" si="9"/>
        <v>1.012976214</v>
      </c>
    </row>
    <row r="585">
      <c r="A585" s="18" t="s">
        <v>40</v>
      </c>
      <c r="B585" s="8" t="s">
        <v>80</v>
      </c>
      <c r="C585" s="8">
        <v>23.0</v>
      </c>
      <c r="D585" s="19">
        <v>0.96</v>
      </c>
      <c r="E585" s="8">
        <v>2.15</v>
      </c>
      <c r="F585" s="8">
        <v>0.006</v>
      </c>
      <c r="G585" s="21">
        <v>218.918468959</v>
      </c>
      <c r="H585" s="22">
        <f t="shared" si="1"/>
        <v>0.4668</v>
      </c>
      <c r="I585" s="22">
        <f t="shared" si="2"/>
        <v>2.142245073</v>
      </c>
      <c r="J585" s="22">
        <f t="shared" si="3"/>
        <v>0.4465116279</v>
      </c>
      <c r="K585" s="22">
        <f t="shared" si="4"/>
        <v>0.002039625209</v>
      </c>
      <c r="L585" s="22">
        <f t="shared" si="5"/>
        <v>0.7308656997</v>
      </c>
      <c r="M585" s="22">
        <f t="shared" si="91"/>
        <v>0.4</v>
      </c>
      <c r="N585" s="22">
        <f t="shared" si="92"/>
        <v>0.5200044033</v>
      </c>
      <c r="O585" s="22">
        <f t="shared" si="93"/>
        <v>0.4318548204</v>
      </c>
      <c r="P585" s="22">
        <f t="shared" si="9"/>
        <v>1.085717431</v>
      </c>
    </row>
    <row r="586">
      <c r="A586" s="18" t="s">
        <v>40</v>
      </c>
      <c r="B586" s="8" t="s">
        <v>80</v>
      </c>
      <c r="C586" s="8">
        <v>24.0</v>
      </c>
      <c r="D586" s="19">
        <v>0.96</v>
      </c>
      <c r="E586" s="8">
        <v>2.69</v>
      </c>
      <c r="F586" s="8">
        <v>0.008</v>
      </c>
      <c r="G586" s="21">
        <v>267.200232920999</v>
      </c>
      <c r="H586" s="22">
        <f t="shared" si="1"/>
        <v>0.6224</v>
      </c>
      <c r="I586" s="22">
        <f t="shared" si="2"/>
        <v>1.606683805</v>
      </c>
      <c r="J586" s="22">
        <f t="shared" si="3"/>
        <v>0.3568773234</v>
      </c>
      <c r="K586" s="22">
        <f t="shared" si="4"/>
        <v>0.001335617561</v>
      </c>
      <c r="L586" s="22">
        <f t="shared" si="5"/>
        <v>0.4491014049</v>
      </c>
      <c r="M586" s="22">
        <f t="shared" si="91"/>
        <v>0.8</v>
      </c>
      <c r="N586" s="22">
        <f t="shared" si="92"/>
        <v>0.7946155467</v>
      </c>
      <c r="O586" s="22">
        <f t="shared" si="93"/>
        <v>0.2844898148</v>
      </c>
      <c r="P586" s="22">
        <f t="shared" si="9"/>
        <v>0.997008637</v>
      </c>
    </row>
    <row r="587">
      <c r="A587" s="18" t="s">
        <v>40</v>
      </c>
      <c r="B587" s="8" t="s">
        <v>80</v>
      </c>
      <c r="C587" s="8">
        <v>25.0</v>
      </c>
      <c r="D587" s="19">
        <v>0.96</v>
      </c>
      <c r="E587" s="8">
        <v>3.06</v>
      </c>
      <c r="F587" s="8">
        <v>0.009</v>
      </c>
      <c r="G587" s="21">
        <v>303.310652819</v>
      </c>
      <c r="H587" s="22">
        <f t="shared" si="1"/>
        <v>0.7002</v>
      </c>
      <c r="I587" s="22">
        <f t="shared" si="2"/>
        <v>1.428163382</v>
      </c>
      <c r="J587" s="22">
        <f t="shared" si="3"/>
        <v>0.3137254902</v>
      </c>
      <c r="K587" s="22">
        <f t="shared" si="4"/>
        <v>0.001034337196</v>
      </c>
      <c r="L587" s="22">
        <f t="shared" si="5"/>
        <v>0.3516746467</v>
      </c>
      <c r="M587" s="22">
        <f t="shared" si="91"/>
        <v>1</v>
      </c>
      <c r="N587" s="22">
        <f t="shared" si="92"/>
        <v>1</v>
      </c>
      <c r="O587" s="22">
        <f t="shared" si="93"/>
        <v>0.22974743</v>
      </c>
      <c r="P587" s="22">
        <f t="shared" si="9"/>
        <v>1</v>
      </c>
    </row>
    <row r="588">
      <c r="A588" s="18" t="s">
        <v>40</v>
      </c>
      <c r="B588" s="8" t="s">
        <v>80</v>
      </c>
      <c r="C588" s="8">
        <v>26.0</v>
      </c>
      <c r="D588" s="19">
        <v>0.96</v>
      </c>
      <c r="E588" s="8">
        <v>2.73</v>
      </c>
      <c r="F588" s="8">
        <v>0.008</v>
      </c>
      <c r="G588" s="21">
        <v>266.358444922</v>
      </c>
      <c r="H588" s="22">
        <f t="shared" si="1"/>
        <v>0.6224</v>
      </c>
      <c r="I588" s="22">
        <f t="shared" si="2"/>
        <v>1.606683805</v>
      </c>
      <c r="J588" s="22">
        <f t="shared" si="3"/>
        <v>0.3516483516</v>
      </c>
      <c r="K588" s="22">
        <f t="shared" si="4"/>
        <v>0.001320207256</v>
      </c>
      <c r="L588" s="22">
        <f t="shared" si="5"/>
        <v>0.4505207261</v>
      </c>
      <c r="M588" s="22">
        <f t="shared" si="91"/>
        <v>0.8</v>
      </c>
      <c r="N588" s="22">
        <f t="shared" si="92"/>
        <v>0.7898277273</v>
      </c>
      <c r="O588" s="22">
        <f t="shared" si="93"/>
        <v>0.2852508298</v>
      </c>
      <c r="P588" s="22">
        <f t="shared" si="9"/>
        <v>0.9943487374</v>
      </c>
    </row>
    <row r="589">
      <c r="A589" s="18" t="s">
        <v>40</v>
      </c>
      <c r="B589" s="8" t="s">
        <v>80</v>
      </c>
      <c r="C589" s="8">
        <v>27.0</v>
      </c>
      <c r="D589" s="19">
        <v>0.96</v>
      </c>
      <c r="E589" s="8">
        <v>2.01</v>
      </c>
      <c r="F589" s="8">
        <v>0.006</v>
      </c>
      <c r="G589" s="21">
        <v>203.326745689999</v>
      </c>
      <c r="H589" s="22">
        <f t="shared" si="1"/>
        <v>0.4668</v>
      </c>
      <c r="I589" s="22">
        <f t="shared" si="2"/>
        <v>2.142245073</v>
      </c>
      <c r="J589" s="22">
        <f t="shared" si="3"/>
        <v>0.4776119403</v>
      </c>
      <c r="K589" s="22">
        <f t="shared" si="4"/>
        <v>0.002348987285</v>
      </c>
      <c r="L589" s="22">
        <f t="shared" si="5"/>
        <v>0.7869107404</v>
      </c>
      <c r="M589" s="22">
        <f t="shared" si="91"/>
        <v>0.4</v>
      </c>
      <c r="N589" s="22">
        <f t="shared" si="92"/>
        <v>0.4313236964</v>
      </c>
      <c r="O589" s="22">
        <f t="shared" si="93"/>
        <v>0.4586113052</v>
      </c>
      <c r="P589" s="22">
        <f t="shared" si="9"/>
        <v>1.022374069</v>
      </c>
    </row>
    <row r="590">
      <c r="A590" s="18" t="s">
        <v>40</v>
      </c>
      <c r="B590" s="8" t="s">
        <v>80</v>
      </c>
      <c r="C590" s="8">
        <v>28.0</v>
      </c>
      <c r="D590" s="19">
        <v>0.96</v>
      </c>
      <c r="E590" s="8">
        <v>2.17</v>
      </c>
      <c r="F590" s="8">
        <v>0.006</v>
      </c>
      <c r="G590" s="21">
        <v>220.673468767</v>
      </c>
      <c r="H590" s="22">
        <f t="shared" si="1"/>
        <v>0.4668</v>
      </c>
      <c r="I590" s="22">
        <f t="shared" si="2"/>
        <v>2.142245073</v>
      </c>
      <c r="J590" s="22">
        <f t="shared" si="3"/>
        <v>0.4423963134</v>
      </c>
      <c r="K590" s="22">
        <f t="shared" si="4"/>
        <v>0.002004755333</v>
      </c>
      <c r="L590" s="22">
        <f t="shared" si="5"/>
        <v>0.7250531788</v>
      </c>
      <c r="M590" s="22">
        <f t="shared" si="91"/>
        <v>0.4</v>
      </c>
      <c r="N590" s="22">
        <f t="shared" si="92"/>
        <v>0.5299862777</v>
      </c>
      <c r="O590" s="22">
        <f t="shared" si="93"/>
        <v>0.4290373307</v>
      </c>
      <c r="P590" s="22">
        <f t="shared" si="9"/>
        <v>1.092847341</v>
      </c>
    </row>
    <row r="591">
      <c r="A591" s="18" t="s">
        <v>40</v>
      </c>
      <c r="B591" s="8" t="s">
        <v>80</v>
      </c>
      <c r="C591" s="8">
        <v>29.0</v>
      </c>
      <c r="D591" s="19">
        <v>0.96</v>
      </c>
      <c r="E591" s="8">
        <v>2.33</v>
      </c>
      <c r="F591" s="8">
        <v>0.007</v>
      </c>
      <c r="G591" s="21">
        <v>233.147355211</v>
      </c>
      <c r="H591" s="22">
        <f t="shared" si="1"/>
        <v>0.5446</v>
      </c>
      <c r="I591" s="22">
        <f t="shared" si="2"/>
        <v>1.836210062</v>
      </c>
      <c r="J591" s="22">
        <f t="shared" si="3"/>
        <v>0.4120171674</v>
      </c>
      <c r="K591" s="22">
        <f t="shared" si="4"/>
        <v>0.001767196403</v>
      </c>
      <c r="L591" s="22">
        <f t="shared" si="5"/>
        <v>0.5882239454</v>
      </c>
      <c r="M591" s="22">
        <f t="shared" si="91"/>
        <v>0.6</v>
      </c>
      <c r="N591" s="22">
        <f t="shared" si="92"/>
        <v>0.6009337315</v>
      </c>
      <c r="O591" s="22">
        <f t="shared" si="93"/>
        <v>0.358770987</v>
      </c>
      <c r="P591" s="22">
        <f t="shared" si="9"/>
        <v>1.000583582</v>
      </c>
    </row>
    <row r="592">
      <c r="A592" s="18" t="s">
        <v>40</v>
      </c>
      <c r="B592" s="8" t="s">
        <v>80</v>
      </c>
      <c r="C592" s="8">
        <v>30.0</v>
      </c>
      <c r="D592" s="19">
        <v>0.96</v>
      </c>
      <c r="E592" s="8">
        <v>2.4</v>
      </c>
      <c r="F592" s="8">
        <v>0.007</v>
      </c>
      <c r="G592" s="21">
        <v>242.641939472</v>
      </c>
      <c r="H592" s="22">
        <f t="shared" si="1"/>
        <v>0.5446</v>
      </c>
      <c r="I592" s="22">
        <f t="shared" si="2"/>
        <v>1.836210062</v>
      </c>
      <c r="J592" s="22">
        <f t="shared" si="3"/>
        <v>0.4</v>
      </c>
      <c r="K592" s="22">
        <f t="shared" si="4"/>
        <v>0.001648519629</v>
      </c>
      <c r="L592" s="22">
        <f t="shared" si="5"/>
        <v>0.5652067299</v>
      </c>
      <c r="M592" s="22">
        <f t="shared" si="91"/>
        <v>0.6</v>
      </c>
      <c r="N592" s="22">
        <f t="shared" si="92"/>
        <v>0.6549358728</v>
      </c>
      <c r="O592" s="22">
        <f t="shared" si="93"/>
        <v>0.3470639464</v>
      </c>
      <c r="P592" s="22">
        <f t="shared" si="9"/>
        <v>1.03433492</v>
      </c>
    </row>
    <row r="593">
      <c r="A593" s="18" t="s">
        <v>40</v>
      </c>
      <c r="B593" s="8" t="s">
        <v>80</v>
      </c>
      <c r="C593" s="8">
        <v>31.0</v>
      </c>
      <c r="D593" s="19">
        <v>0.96</v>
      </c>
      <c r="E593" s="8">
        <v>2.18</v>
      </c>
      <c r="F593" s="8">
        <v>0.006</v>
      </c>
      <c r="G593" s="21">
        <v>221.113453031</v>
      </c>
      <c r="H593" s="22">
        <f t="shared" si="1"/>
        <v>0.4668</v>
      </c>
      <c r="I593" s="22">
        <f t="shared" si="2"/>
        <v>2.142245073</v>
      </c>
      <c r="J593" s="22">
        <f t="shared" si="3"/>
        <v>0.4403669725</v>
      </c>
      <c r="K593" s="22">
        <f t="shared" si="4"/>
        <v>0.001991588329</v>
      </c>
      <c r="L593" s="22">
        <f t="shared" si="5"/>
        <v>0.7236104263</v>
      </c>
      <c r="M593" s="22">
        <f t="shared" si="91"/>
        <v>0.4</v>
      </c>
      <c r="N593" s="22">
        <f t="shared" si="92"/>
        <v>0.5324887666</v>
      </c>
      <c r="O593" s="22">
        <f t="shared" si="93"/>
        <v>0.428336731</v>
      </c>
      <c r="P593" s="22">
        <f t="shared" si="9"/>
        <v>1.094634833</v>
      </c>
    </row>
    <row r="594">
      <c r="A594" s="18" t="s">
        <v>40</v>
      </c>
      <c r="B594" s="8" t="s">
        <v>80</v>
      </c>
      <c r="C594" s="8">
        <v>32.0</v>
      </c>
      <c r="D594" s="19">
        <v>0.96</v>
      </c>
      <c r="E594" s="8">
        <v>2.25</v>
      </c>
      <c r="F594" s="8">
        <v>0.006</v>
      </c>
      <c r="G594" s="21">
        <v>230.089331212</v>
      </c>
      <c r="H594" s="22">
        <f t="shared" si="1"/>
        <v>0.4668</v>
      </c>
      <c r="I594" s="22">
        <f t="shared" si="2"/>
        <v>2.142245073</v>
      </c>
      <c r="J594" s="22">
        <f t="shared" si="3"/>
        <v>0.4266666667</v>
      </c>
      <c r="K594" s="22">
        <f t="shared" si="4"/>
        <v>0.00185435224</v>
      </c>
      <c r="L594" s="22">
        <f t="shared" si="5"/>
        <v>0.6953820899</v>
      </c>
      <c r="M594" s="22">
        <f t="shared" si="91"/>
        <v>0.4</v>
      </c>
      <c r="N594" s="22">
        <f t="shared" si="92"/>
        <v>0.5835406746</v>
      </c>
      <c r="O594" s="22">
        <f t="shared" si="93"/>
        <v>0.4145275452</v>
      </c>
      <c r="P594" s="22">
        <f t="shared" si="9"/>
        <v>1.131100482</v>
      </c>
    </row>
    <row r="595">
      <c r="A595" s="18" t="s">
        <v>40</v>
      </c>
      <c r="B595" s="8" t="s">
        <v>80</v>
      </c>
      <c r="C595" s="8">
        <v>33.0</v>
      </c>
      <c r="D595" s="19">
        <v>0.96</v>
      </c>
      <c r="E595" s="8">
        <v>2.05</v>
      </c>
      <c r="F595" s="8">
        <v>0.006</v>
      </c>
      <c r="G595" s="21">
        <v>209.975678958999</v>
      </c>
      <c r="H595" s="22">
        <f t="shared" si="1"/>
        <v>0.4668</v>
      </c>
      <c r="I595" s="22">
        <f t="shared" si="2"/>
        <v>2.142245073</v>
      </c>
      <c r="J595" s="22">
        <f t="shared" si="3"/>
        <v>0.4682926829</v>
      </c>
      <c r="K595" s="22">
        <f t="shared" si="4"/>
        <v>0.002230223449</v>
      </c>
      <c r="L595" s="22">
        <f t="shared" si="5"/>
        <v>0.7619930117</v>
      </c>
      <c r="M595" s="22">
        <f t="shared" si="91"/>
        <v>0.4</v>
      </c>
      <c r="N595" s="22">
        <f t="shared" si="92"/>
        <v>0.4691406902</v>
      </c>
      <c r="O595" s="22">
        <f t="shared" si="93"/>
        <v>0.4468062405</v>
      </c>
      <c r="P595" s="22">
        <f t="shared" si="9"/>
        <v>1.049386207</v>
      </c>
    </row>
    <row r="596">
      <c r="A596" s="18" t="s">
        <v>40</v>
      </c>
      <c r="B596" s="8" t="s">
        <v>92</v>
      </c>
      <c r="C596" s="8">
        <v>1.0</v>
      </c>
      <c r="D596" s="19">
        <v>0.96</v>
      </c>
      <c r="E596" s="8">
        <v>0.84</v>
      </c>
      <c r="F596" s="8">
        <v>0.006</v>
      </c>
      <c r="G596" s="21">
        <v>227.746940657</v>
      </c>
      <c r="H596" s="22">
        <f t="shared" si="1"/>
        <v>0.4668</v>
      </c>
      <c r="I596" s="22">
        <f t="shared" si="2"/>
        <v>2.142245073</v>
      </c>
      <c r="J596" s="22">
        <f t="shared" si="3"/>
        <v>1.142857143</v>
      </c>
      <c r="K596" s="22">
        <f t="shared" si="4"/>
        <v>0.005018100966</v>
      </c>
      <c r="L596" s="22">
        <f t="shared" si="5"/>
        <v>0.7025341352</v>
      </c>
      <c r="M596" s="22">
        <f t="shared" si="91"/>
        <v>0.4</v>
      </c>
      <c r="N596" s="22">
        <f t="shared" si="92"/>
        <v>0.5702179106</v>
      </c>
      <c r="O596" s="22">
        <f t="shared" si="93"/>
        <v>0.4180446702</v>
      </c>
      <c r="P596" s="22">
        <f t="shared" si="9"/>
        <v>1.121584222</v>
      </c>
    </row>
    <row r="597">
      <c r="A597" s="18" t="s">
        <v>40</v>
      </c>
      <c r="B597" s="8" t="s">
        <v>92</v>
      </c>
      <c r="C597" s="8">
        <v>2.0</v>
      </c>
      <c r="D597" s="19">
        <v>0.96</v>
      </c>
      <c r="E597" s="8">
        <v>0.82</v>
      </c>
      <c r="F597" s="8">
        <v>0.006</v>
      </c>
      <c r="G597" s="21">
        <v>214.225406897</v>
      </c>
      <c r="H597" s="22">
        <f t="shared" si="1"/>
        <v>0.4668</v>
      </c>
      <c r="I597" s="22">
        <f t="shared" si="2"/>
        <v>2.142245073</v>
      </c>
      <c r="J597" s="22">
        <f t="shared" si="3"/>
        <v>1.170731707</v>
      </c>
      <c r="K597" s="22">
        <f t="shared" si="4"/>
        <v>0.00546495266</v>
      </c>
      <c r="L597" s="22">
        <f t="shared" si="5"/>
        <v>0.7468768636</v>
      </c>
      <c r="M597" s="22">
        <f t="shared" si="91"/>
        <v>0.4</v>
      </c>
      <c r="N597" s="22">
        <f t="shared" si="92"/>
        <v>0.4933117758</v>
      </c>
      <c r="O597" s="22">
        <f t="shared" si="93"/>
        <v>0.4395741326</v>
      </c>
      <c r="P597" s="22">
        <f t="shared" si="9"/>
        <v>1.066651268</v>
      </c>
    </row>
    <row r="598">
      <c r="A598" s="18" t="s">
        <v>40</v>
      </c>
      <c r="B598" s="8" t="s">
        <v>92</v>
      </c>
      <c r="C598" s="8">
        <v>3.0</v>
      </c>
      <c r="D598" s="19">
        <v>0.96</v>
      </c>
      <c r="E598" s="8">
        <v>1.04</v>
      </c>
      <c r="F598" s="8">
        <v>0.007</v>
      </c>
      <c r="G598" s="21">
        <v>268.830264828999</v>
      </c>
      <c r="H598" s="22">
        <f t="shared" si="1"/>
        <v>0.5446</v>
      </c>
      <c r="I598" s="22">
        <f t="shared" si="2"/>
        <v>1.836210062</v>
      </c>
      <c r="J598" s="22">
        <f t="shared" si="3"/>
        <v>0.9230769231</v>
      </c>
      <c r="K598" s="22">
        <f t="shared" si="4"/>
        <v>0.003433679328</v>
      </c>
      <c r="L598" s="22">
        <f t="shared" si="5"/>
        <v>0.510146643</v>
      </c>
      <c r="M598" s="22">
        <f t="shared" si="91"/>
        <v>0.6</v>
      </c>
      <c r="N598" s="22">
        <f t="shared" si="92"/>
        <v>0.8038866439</v>
      </c>
      <c r="O598" s="22">
        <f t="shared" si="93"/>
        <v>0.3184061354</v>
      </c>
      <c r="P598" s="22">
        <f t="shared" si="9"/>
        <v>1.127429152</v>
      </c>
    </row>
    <row r="599">
      <c r="A599" s="18" t="s">
        <v>40</v>
      </c>
      <c r="B599" s="8" t="s">
        <v>92</v>
      </c>
      <c r="C599" s="8">
        <v>4.0</v>
      </c>
      <c r="D599" s="19">
        <v>0.96</v>
      </c>
      <c r="E599" s="8">
        <v>0.85</v>
      </c>
      <c r="F599" s="8">
        <v>0.006</v>
      </c>
      <c r="G599" s="21">
        <v>219.133446487</v>
      </c>
      <c r="H599" s="22">
        <f t="shared" si="1"/>
        <v>0.4668</v>
      </c>
      <c r="I599" s="22">
        <f t="shared" si="2"/>
        <v>2.142245073</v>
      </c>
      <c r="J599" s="22">
        <f t="shared" si="3"/>
        <v>1.129411765</v>
      </c>
      <c r="K599" s="22">
        <f t="shared" si="4"/>
        <v>0.005153990789</v>
      </c>
      <c r="L599" s="22">
        <f t="shared" si="5"/>
        <v>0.7301486951</v>
      </c>
      <c r="M599" s="22">
        <f t="shared" si="91"/>
        <v>0.4</v>
      </c>
      <c r="N599" s="22">
        <f t="shared" si="92"/>
        <v>0.5212271263</v>
      </c>
      <c r="O599" s="22">
        <f t="shared" si="93"/>
        <v>0.4315077066</v>
      </c>
      <c r="P599" s="22">
        <f t="shared" si="9"/>
        <v>1.086590804</v>
      </c>
    </row>
    <row r="600">
      <c r="A600" s="18" t="s">
        <v>40</v>
      </c>
      <c r="B600" s="8" t="s">
        <v>92</v>
      </c>
      <c r="C600" s="8">
        <v>5.0</v>
      </c>
      <c r="D600" s="19">
        <v>0.96</v>
      </c>
      <c r="E600" s="8">
        <v>0.91</v>
      </c>
      <c r="F600" s="8">
        <v>0.007</v>
      </c>
      <c r="G600" s="21">
        <v>236.413863438</v>
      </c>
      <c r="H600" s="22">
        <f t="shared" si="1"/>
        <v>0.5446</v>
      </c>
      <c r="I600" s="22">
        <f t="shared" si="2"/>
        <v>1.836210062</v>
      </c>
      <c r="J600" s="22">
        <f t="shared" si="3"/>
        <v>1.054945055</v>
      </c>
      <c r="K600" s="22">
        <f t="shared" si="4"/>
        <v>0.004462280848</v>
      </c>
      <c r="L600" s="22">
        <f t="shared" si="5"/>
        <v>0.5800965102</v>
      </c>
      <c r="M600" s="22">
        <f t="shared" si="91"/>
        <v>0.6</v>
      </c>
      <c r="N600" s="22">
        <f t="shared" si="92"/>
        <v>0.6195125796</v>
      </c>
      <c r="O600" s="22">
        <f t="shared" si="93"/>
        <v>0.3546552106</v>
      </c>
      <c r="P600" s="22">
        <f t="shared" si="9"/>
        <v>1.012195362</v>
      </c>
    </row>
    <row r="601">
      <c r="A601" s="18" t="s">
        <v>40</v>
      </c>
      <c r="B601" s="8" t="s">
        <v>92</v>
      </c>
      <c r="C601" s="8">
        <v>6.0</v>
      </c>
      <c r="D601" s="19">
        <v>0.96</v>
      </c>
      <c r="E601" s="8">
        <v>0.64</v>
      </c>
      <c r="F601" s="8">
        <v>0.005</v>
      </c>
      <c r="G601" s="21">
        <v>167.307319052999</v>
      </c>
      <c r="H601" s="22">
        <f t="shared" si="1"/>
        <v>0.389</v>
      </c>
      <c r="I601" s="22">
        <f t="shared" si="2"/>
        <v>2.570694087</v>
      </c>
      <c r="J601" s="22">
        <f t="shared" si="3"/>
        <v>1.5</v>
      </c>
      <c r="K601" s="22">
        <f t="shared" si="4"/>
        <v>0.008965537243</v>
      </c>
      <c r="L601" s="22">
        <f t="shared" si="5"/>
        <v>1.147588767</v>
      </c>
      <c r="M601" s="22">
        <f t="shared" si="91"/>
        <v>0.2</v>
      </c>
      <c r="N601" s="22">
        <f t="shared" si="92"/>
        <v>0.2264567835</v>
      </c>
      <c r="O601" s="22">
        <f t="shared" si="93"/>
        <v>0.6244205071</v>
      </c>
      <c r="P601" s="22">
        <f t="shared" si="9"/>
        <v>1.02204732</v>
      </c>
    </row>
    <row r="602">
      <c r="A602" s="18" t="s">
        <v>40</v>
      </c>
      <c r="B602" s="8" t="s">
        <v>92</v>
      </c>
      <c r="C602" s="8">
        <v>7.0</v>
      </c>
      <c r="D602" s="19">
        <v>0.96</v>
      </c>
      <c r="E602" s="8">
        <v>0.81</v>
      </c>
      <c r="F602" s="8">
        <v>0.006</v>
      </c>
      <c r="G602" s="21">
        <v>206.065848318</v>
      </c>
      <c r="H602" s="22">
        <f t="shared" si="1"/>
        <v>0.4668</v>
      </c>
      <c r="I602" s="22">
        <f t="shared" si="2"/>
        <v>2.142245073</v>
      </c>
      <c r="J602" s="22">
        <f t="shared" si="3"/>
        <v>1.185185185</v>
      </c>
      <c r="K602" s="22">
        <f t="shared" si="4"/>
        <v>0.005751487667</v>
      </c>
      <c r="L602" s="22">
        <f t="shared" si="5"/>
        <v>0.776450835</v>
      </c>
      <c r="M602" s="22">
        <f t="shared" si="91"/>
        <v>0.4</v>
      </c>
      <c r="N602" s="22">
        <f t="shared" si="92"/>
        <v>0.4469028312</v>
      </c>
      <c r="O602" s="22">
        <f t="shared" si="93"/>
        <v>0.453673332</v>
      </c>
      <c r="P602" s="22">
        <f t="shared" si="9"/>
        <v>1.033502022</v>
      </c>
    </row>
    <row r="603">
      <c r="A603" s="18" t="s">
        <v>40</v>
      </c>
      <c r="B603" s="8" t="s">
        <v>92</v>
      </c>
      <c r="C603" s="8">
        <v>8.0</v>
      </c>
      <c r="D603" s="19">
        <v>0.96</v>
      </c>
      <c r="E603" s="8">
        <v>0.9</v>
      </c>
      <c r="F603" s="8">
        <v>0.006</v>
      </c>
      <c r="G603" s="21">
        <v>231.494001292999</v>
      </c>
      <c r="H603" s="22">
        <f t="shared" si="1"/>
        <v>0.4668</v>
      </c>
      <c r="I603" s="22">
        <f t="shared" si="2"/>
        <v>2.142245073</v>
      </c>
      <c r="J603" s="22">
        <f t="shared" si="3"/>
        <v>1.066666667</v>
      </c>
      <c r="K603" s="22">
        <f t="shared" si="4"/>
        <v>0.004607750787</v>
      </c>
      <c r="L603" s="22">
        <f t="shared" si="5"/>
        <v>0.6911626181</v>
      </c>
      <c r="M603" s="22">
        <f t="shared" si="91"/>
        <v>0.4</v>
      </c>
      <c r="N603" s="22">
        <f t="shared" si="92"/>
        <v>0.5915299862</v>
      </c>
      <c r="O603" s="22">
        <f t="shared" si="93"/>
        <v>0.4124466609</v>
      </c>
      <c r="P603" s="22">
        <f t="shared" si="9"/>
        <v>1.136807133</v>
      </c>
    </row>
    <row r="604">
      <c r="A604" s="18" t="s">
        <v>40</v>
      </c>
      <c r="B604" s="8" t="s">
        <v>92</v>
      </c>
      <c r="C604" s="8">
        <v>9.0</v>
      </c>
      <c r="D604" s="19">
        <v>0.96</v>
      </c>
      <c r="E604" s="8">
        <v>0.82</v>
      </c>
      <c r="F604" s="8">
        <v>0.006</v>
      </c>
      <c r="G604" s="21">
        <v>211.631902569</v>
      </c>
      <c r="H604" s="22">
        <f t="shared" si="1"/>
        <v>0.4668</v>
      </c>
      <c r="I604" s="22">
        <f t="shared" si="2"/>
        <v>2.142245073</v>
      </c>
      <c r="J604" s="22">
        <f t="shared" si="3"/>
        <v>1.170731707</v>
      </c>
      <c r="K604" s="22">
        <f t="shared" si="4"/>
        <v>0.005531924502</v>
      </c>
      <c r="L604" s="22">
        <f t="shared" si="5"/>
        <v>0.756029682</v>
      </c>
      <c r="M604" s="22">
        <f t="shared" si="91"/>
        <v>0.4</v>
      </c>
      <c r="N604" s="22">
        <f t="shared" si="92"/>
        <v>0.4785607574</v>
      </c>
      <c r="O604" s="22">
        <f t="shared" si="93"/>
        <v>0.4439595906</v>
      </c>
      <c r="P604" s="22">
        <f t="shared" si="9"/>
        <v>1.056114827</v>
      </c>
    </row>
    <row r="605">
      <c r="A605" s="18" t="s">
        <v>40</v>
      </c>
      <c r="B605" s="8" t="s">
        <v>92</v>
      </c>
      <c r="C605" s="8">
        <v>10.0</v>
      </c>
      <c r="D605" s="19">
        <v>0.96</v>
      </c>
      <c r="E605" s="8">
        <v>0.85</v>
      </c>
      <c r="F605" s="8">
        <v>0.006</v>
      </c>
      <c r="G605" s="21">
        <v>230.811159237</v>
      </c>
      <c r="H605" s="22">
        <f t="shared" si="1"/>
        <v>0.4668</v>
      </c>
      <c r="I605" s="22">
        <f t="shared" si="2"/>
        <v>2.142245073</v>
      </c>
      <c r="J605" s="22">
        <f t="shared" si="3"/>
        <v>1.129411765</v>
      </c>
      <c r="K605" s="22">
        <f t="shared" si="4"/>
        <v>0.004893228596</v>
      </c>
      <c r="L605" s="22">
        <f t="shared" si="5"/>
        <v>0.6932073845</v>
      </c>
      <c r="M605" s="22">
        <f t="shared" si="91"/>
        <v>0.4</v>
      </c>
      <c r="N605" s="22">
        <f t="shared" si="92"/>
        <v>0.5876462002</v>
      </c>
      <c r="O605" s="22">
        <f t="shared" si="93"/>
        <v>0.4134556102</v>
      </c>
      <c r="P605" s="22">
        <f t="shared" si="9"/>
        <v>1.134033</v>
      </c>
    </row>
    <row r="606">
      <c r="A606" s="18" t="s">
        <v>40</v>
      </c>
      <c r="B606" s="8" t="s">
        <v>92</v>
      </c>
      <c r="C606" s="8">
        <v>11.0</v>
      </c>
      <c r="D606" s="19">
        <v>0.96</v>
      </c>
      <c r="E606" s="8">
        <v>0.72</v>
      </c>
      <c r="F606" s="8">
        <v>0.005</v>
      </c>
      <c r="G606" s="21">
        <v>197.345804189999</v>
      </c>
      <c r="H606" s="22">
        <f t="shared" si="1"/>
        <v>0.389</v>
      </c>
      <c r="I606" s="22">
        <f t="shared" si="2"/>
        <v>2.570694087</v>
      </c>
      <c r="J606" s="22">
        <f t="shared" si="3"/>
        <v>1.333333333</v>
      </c>
      <c r="K606" s="22">
        <f t="shared" si="4"/>
        <v>0.006756329778</v>
      </c>
      <c r="L606" s="22">
        <f t="shared" si="5"/>
        <v>0.972911488</v>
      </c>
      <c r="M606" s="22">
        <f t="shared" si="91"/>
        <v>0.2</v>
      </c>
      <c r="N606" s="22">
        <f t="shared" si="92"/>
        <v>0.397306025</v>
      </c>
      <c r="O606" s="22">
        <f t="shared" si="93"/>
        <v>0.5480723284</v>
      </c>
      <c r="P606" s="22">
        <f t="shared" si="9"/>
        <v>1.164421687</v>
      </c>
    </row>
    <row r="607">
      <c r="A607" s="18" t="s">
        <v>40</v>
      </c>
      <c r="B607" s="8" t="s">
        <v>92</v>
      </c>
      <c r="C607" s="8">
        <v>12.0</v>
      </c>
      <c r="D607" s="19">
        <v>0.96</v>
      </c>
      <c r="E607" s="8">
        <v>0.82</v>
      </c>
      <c r="F607" s="8">
        <v>0.006</v>
      </c>
      <c r="G607" s="21">
        <v>223.15062861</v>
      </c>
      <c r="H607" s="22">
        <f t="shared" si="1"/>
        <v>0.4668</v>
      </c>
      <c r="I607" s="22">
        <f t="shared" si="2"/>
        <v>2.142245073</v>
      </c>
      <c r="J607" s="22">
        <f t="shared" si="3"/>
        <v>1.170731707</v>
      </c>
      <c r="K607" s="22">
        <f t="shared" si="4"/>
        <v>0.00524637423</v>
      </c>
      <c r="L607" s="22">
        <f t="shared" si="5"/>
        <v>0.7170044781</v>
      </c>
      <c r="M607" s="22">
        <f t="shared" si="91"/>
        <v>0.4</v>
      </c>
      <c r="N607" s="22">
        <f t="shared" si="92"/>
        <v>0.5440755661</v>
      </c>
      <c r="O607" s="22">
        <f t="shared" si="93"/>
        <v>0.4251224765</v>
      </c>
      <c r="P607" s="22">
        <f t="shared" si="9"/>
        <v>1.102911119</v>
      </c>
    </row>
    <row r="608">
      <c r="A608" s="18" t="s">
        <v>40</v>
      </c>
      <c r="B608" s="8" t="s">
        <v>92</v>
      </c>
      <c r="C608" s="8">
        <v>13.0</v>
      </c>
      <c r="D608" s="19">
        <v>0.96</v>
      </c>
      <c r="E608" s="8">
        <v>0.84</v>
      </c>
      <c r="F608" s="8">
        <v>0.006</v>
      </c>
      <c r="G608" s="21">
        <v>230.590665913</v>
      </c>
      <c r="H608" s="22">
        <f t="shared" si="1"/>
        <v>0.4668</v>
      </c>
      <c r="I608" s="22">
        <f t="shared" si="2"/>
        <v>2.142245073</v>
      </c>
      <c r="J608" s="22">
        <f t="shared" si="3"/>
        <v>1.142857143</v>
      </c>
      <c r="K608" s="22">
        <f t="shared" si="4"/>
        <v>0.004956215978</v>
      </c>
      <c r="L608" s="22">
        <f t="shared" si="5"/>
        <v>0.693870237</v>
      </c>
      <c r="M608" s="22">
        <f t="shared" si="91"/>
        <v>0.4</v>
      </c>
      <c r="N608" s="22">
        <f t="shared" si="92"/>
        <v>0.5863921051</v>
      </c>
      <c r="O608" s="22">
        <f t="shared" si="93"/>
        <v>0.4137824605</v>
      </c>
      <c r="P608" s="22">
        <f t="shared" si="9"/>
        <v>1.133137218</v>
      </c>
    </row>
    <row r="609">
      <c r="A609" s="18" t="s">
        <v>40</v>
      </c>
      <c r="B609" s="8" t="s">
        <v>92</v>
      </c>
      <c r="C609" s="8">
        <v>14.0</v>
      </c>
      <c r="D609" s="19">
        <v>0.96</v>
      </c>
      <c r="E609" s="8">
        <v>0.76</v>
      </c>
      <c r="F609" s="8">
        <v>0.005</v>
      </c>
      <c r="G609" s="21">
        <v>207.910832638</v>
      </c>
      <c r="H609" s="22">
        <f t="shared" si="1"/>
        <v>0.389</v>
      </c>
      <c r="I609" s="22">
        <f t="shared" si="2"/>
        <v>2.570694087</v>
      </c>
      <c r="J609" s="22">
        <f t="shared" si="3"/>
        <v>1.263157895</v>
      </c>
      <c r="K609" s="22">
        <f t="shared" si="4"/>
        <v>0.006075478986</v>
      </c>
      <c r="L609" s="22">
        <f t="shared" si="5"/>
        <v>0.9234728059</v>
      </c>
      <c r="M609" s="22">
        <f t="shared" si="91"/>
        <v>0.2</v>
      </c>
      <c r="N609" s="22">
        <f t="shared" si="92"/>
        <v>0.4573965085</v>
      </c>
      <c r="O609" s="22">
        <f t="shared" si="93"/>
        <v>0.5254745446</v>
      </c>
      <c r="P609" s="22">
        <f t="shared" si="9"/>
        <v>1.21449709</v>
      </c>
    </row>
    <row r="610">
      <c r="A610" s="18" t="s">
        <v>40</v>
      </c>
      <c r="B610" s="8" t="s">
        <v>92</v>
      </c>
      <c r="C610" s="8">
        <v>15.0</v>
      </c>
      <c r="D610" s="19">
        <v>0.96</v>
      </c>
      <c r="E610" s="8">
        <v>0.73</v>
      </c>
      <c r="F610" s="8">
        <v>0.005</v>
      </c>
      <c r="G610" s="21">
        <v>198.386950638</v>
      </c>
      <c r="H610" s="22">
        <f t="shared" si="1"/>
        <v>0.389</v>
      </c>
      <c r="I610" s="22">
        <f t="shared" si="2"/>
        <v>2.570694087</v>
      </c>
      <c r="J610" s="22">
        <f t="shared" si="3"/>
        <v>1.315068493</v>
      </c>
      <c r="K610" s="22">
        <f t="shared" si="4"/>
        <v>0.006628805418</v>
      </c>
      <c r="L610" s="22">
        <f t="shared" si="5"/>
        <v>0.967805591</v>
      </c>
      <c r="M610" s="22">
        <f t="shared" si="91"/>
        <v>0.2</v>
      </c>
      <c r="N610" s="22">
        <f t="shared" si="92"/>
        <v>0.4032277311</v>
      </c>
      <c r="O610" s="22">
        <f t="shared" si="93"/>
        <v>0.54575943</v>
      </c>
      <c r="P610" s="22">
        <f t="shared" si="9"/>
        <v>1.169356443</v>
      </c>
    </row>
    <row r="611">
      <c r="A611" s="18" t="s">
        <v>40</v>
      </c>
      <c r="B611" s="8" t="s">
        <v>92</v>
      </c>
      <c r="C611" s="8">
        <v>16.0</v>
      </c>
      <c r="D611" s="19">
        <v>0.96</v>
      </c>
      <c r="E611" s="8">
        <v>0.83</v>
      </c>
      <c r="F611" s="8">
        <v>0.006</v>
      </c>
      <c r="G611" s="21">
        <v>226.596825840999</v>
      </c>
      <c r="H611" s="22">
        <f t="shared" si="1"/>
        <v>0.4668</v>
      </c>
      <c r="I611" s="22">
        <f t="shared" si="2"/>
        <v>2.142245073</v>
      </c>
      <c r="J611" s="22">
        <f t="shared" si="3"/>
        <v>1.156626506</v>
      </c>
      <c r="K611" s="22">
        <f t="shared" si="4"/>
        <v>0.005104336752</v>
      </c>
      <c r="L611" s="22">
        <f t="shared" si="5"/>
        <v>0.7060999174</v>
      </c>
      <c r="M611" s="22">
        <f t="shared" si="91"/>
        <v>0.4</v>
      </c>
      <c r="N611" s="22">
        <f t="shared" si="92"/>
        <v>0.5636764274</v>
      </c>
      <c r="O611" s="22">
        <f t="shared" si="93"/>
        <v>0.419793518</v>
      </c>
      <c r="P611" s="22">
        <f t="shared" si="9"/>
        <v>1.116911734</v>
      </c>
    </row>
    <row r="612">
      <c r="A612" s="18" t="s">
        <v>40</v>
      </c>
      <c r="B612" s="8" t="s">
        <v>92</v>
      </c>
      <c r="C612" s="8">
        <v>17.0</v>
      </c>
      <c r="D612" s="19">
        <v>0.96</v>
      </c>
      <c r="E612" s="8">
        <v>0.78</v>
      </c>
      <c r="F612" s="8">
        <v>0.006</v>
      </c>
      <c r="G612" s="21">
        <v>208.083214487</v>
      </c>
      <c r="H612" s="22">
        <f t="shared" si="1"/>
        <v>0.4668</v>
      </c>
      <c r="I612" s="22">
        <f t="shared" si="2"/>
        <v>2.142245073</v>
      </c>
      <c r="J612" s="22">
        <f t="shared" si="3"/>
        <v>1.230769231</v>
      </c>
      <c r="K612" s="22">
        <f t="shared" si="4"/>
        <v>0.005914793434</v>
      </c>
      <c r="L612" s="22">
        <f t="shared" si="5"/>
        <v>0.7689231464</v>
      </c>
      <c r="M612" s="22">
        <f t="shared" si="91"/>
        <v>0.4</v>
      </c>
      <c r="N612" s="22">
        <f t="shared" si="92"/>
        <v>0.458376961</v>
      </c>
      <c r="O612" s="22">
        <f t="shared" si="93"/>
        <v>0.4501039485</v>
      </c>
      <c r="P612" s="22">
        <f t="shared" si="9"/>
        <v>1.041697829</v>
      </c>
    </row>
    <row r="613">
      <c r="A613" s="18" t="s">
        <v>40</v>
      </c>
      <c r="B613" s="8" t="s">
        <v>92</v>
      </c>
      <c r="C613" s="8">
        <v>18.0</v>
      </c>
      <c r="D613" s="19">
        <v>0.96</v>
      </c>
      <c r="E613" s="8">
        <v>0.87</v>
      </c>
      <c r="F613" s="8">
        <v>0.006</v>
      </c>
      <c r="G613" s="21">
        <v>234.281957166999</v>
      </c>
      <c r="H613" s="22">
        <f t="shared" si="1"/>
        <v>0.4668</v>
      </c>
      <c r="I613" s="22">
        <f t="shared" si="2"/>
        <v>2.142245073</v>
      </c>
      <c r="J613" s="22">
        <f t="shared" si="3"/>
        <v>1.103448276</v>
      </c>
      <c r="K613" s="22">
        <f t="shared" si="4"/>
        <v>0.004709915732</v>
      </c>
      <c r="L613" s="22">
        <f t="shared" si="5"/>
        <v>0.6829377812</v>
      </c>
      <c r="M613" s="22">
        <f t="shared" si="91"/>
        <v>0.4</v>
      </c>
      <c r="N613" s="22">
        <f t="shared" si="92"/>
        <v>0.6073869825</v>
      </c>
      <c r="O613" s="22">
        <f t="shared" si="93"/>
        <v>0.4083778429</v>
      </c>
      <c r="P613" s="22">
        <f t="shared" si="9"/>
        <v>1.148133559</v>
      </c>
    </row>
    <row r="614">
      <c r="A614" s="18" t="s">
        <v>40</v>
      </c>
      <c r="B614" s="8" t="s">
        <v>92</v>
      </c>
      <c r="C614" s="8">
        <v>19.0</v>
      </c>
      <c r="D614" s="19">
        <v>0.96</v>
      </c>
      <c r="E614" s="8">
        <v>0.78</v>
      </c>
      <c r="F614" s="8">
        <v>0.006</v>
      </c>
      <c r="G614" s="21">
        <v>211.249610923</v>
      </c>
      <c r="H614" s="22">
        <f t="shared" si="1"/>
        <v>0.4668</v>
      </c>
      <c r="I614" s="22">
        <f t="shared" si="2"/>
        <v>2.142245073</v>
      </c>
      <c r="J614" s="22">
        <f t="shared" si="3"/>
        <v>1.230769231</v>
      </c>
      <c r="K614" s="22">
        <f t="shared" si="4"/>
        <v>0.005826137267</v>
      </c>
      <c r="L614" s="22">
        <f t="shared" si="5"/>
        <v>0.7573978447</v>
      </c>
      <c r="M614" s="22">
        <f t="shared" si="91"/>
        <v>0.4</v>
      </c>
      <c r="N614" s="22">
        <f t="shared" si="92"/>
        <v>0.4763864055</v>
      </c>
      <c r="O614" s="22">
        <f t="shared" si="93"/>
        <v>0.4446134333</v>
      </c>
      <c r="P614" s="22">
        <f t="shared" si="9"/>
        <v>1.054561718</v>
      </c>
    </row>
    <row r="615">
      <c r="A615" s="18" t="s">
        <v>40</v>
      </c>
      <c r="B615" s="8" t="s">
        <v>92</v>
      </c>
      <c r="C615" s="8">
        <v>20.0</v>
      </c>
      <c r="D615" s="19">
        <v>0.96</v>
      </c>
      <c r="E615" s="8">
        <v>0.84</v>
      </c>
      <c r="F615" s="8">
        <v>0.006</v>
      </c>
      <c r="G615" s="21">
        <v>227.967709341</v>
      </c>
      <c r="H615" s="22">
        <f t="shared" si="1"/>
        <v>0.4668</v>
      </c>
      <c r="I615" s="22">
        <f t="shared" si="2"/>
        <v>2.142245073</v>
      </c>
      <c r="J615" s="22">
        <f t="shared" si="3"/>
        <v>1.142857143</v>
      </c>
      <c r="K615" s="22">
        <f t="shared" si="4"/>
        <v>0.005013241332</v>
      </c>
      <c r="L615" s="22">
        <f t="shared" si="5"/>
        <v>0.7018537865</v>
      </c>
      <c r="M615" s="22">
        <f t="shared" si="91"/>
        <v>0.4</v>
      </c>
      <c r="N615" s="22">
        <f t="shared" si="92"/>
        <v>0.5714735718</v>
      </c>
      <c r="O615" s="22">
        <f t="shared" si="93"/>
        <v>0.4177106382</v>
      </c>
      <c r="P615" s="22">
        <f t="shared" si="9"/>
        <v>1.122481123</v>
      </c>
    </row>
    <row r="616">
      <c r="A616" s="18" t="s">
        <v>40</v>
      </c>
      <c r="B616" s="8" t="s">
        <v>92</v>
      </c>
      <c r="C616" s="8">
        <v>21.0</v>
      </c>
      <c r="D616" s="19">
        <v>0.96</v>
      </c>
      <c r="E616" s="8">
        <v>0.72</v>
      </c>
      <c r="F616" s="8">
        <v>0.005</v>
      </c>
      <c r="G616" s="21">
        <v>198.266739304</v>
      </c>
      <c r="H616" s="22">
        <f t="shared" si="1"/>
        <v>0.389</v>
      </c>
      <c r="I616" s="22">
        <f t="shared" si="2"/>
        <v>2.570694087</v>
      </c>
      <c r="J616" s="22">
        <f t="shared" si="3"/>
        <v>1.333333333</v>
      </c>
      <c r="K616" s="22">
        <f t="shared" si="4"/>
        <v>0.006724947099</v>
      </c>
      <c r="L616" s="22">
        <f t="shared" si="5"/>
        <v>0.9683923823</v>
      </c>
      <c r="M616" s="22">
        <f t="shared" si="91"/>
        <v>0.2</v>
      </c>
      <c r="N616" s="22">
        <f t="shared" si="92"/>
        <v>0.4025440077</v>
      </c>
      <c r="O616" s="22">
        <f t="shared" si="93"/>
        <v>0.5460254812</v>
      </c>
      <c r="P616" s="22">
        <f t="shared" si="9"/>
        <v>1.168786673</v>
      </c>
    </row>
    <row r="617">
      <c r="A617" s="18" t="s">
        <v>40</v>
      </c>
      <c r="B617" s="8" t="s">
        <v>92</v>
      </c>
      <c r="C617" s="8">
        <v>22.0</v>
      </c>
      <c r="D617" s="19">
        <v>0.96</v>
      </c>
      <c r="E617" s="8">
        <v>0.89</v>
      </c>
      <c r="F617" s="8">
        <v>0.006</v>
      </c>
      <c r="G617" s="21">
        <v>236.079200442</v>
      </c>
      <c r="H617" s="22">
        <f t="shared" si="1"/>
        <v>0.4668</v>
      </c>
      <c r="I617" s="22">
        <f t="shared" si="2"/>
        <v>2.142245073</v>
      </c>
      <c r="J617" s="22">
        <f t="shared" si="3"/>
        <v>1.078651685</v>
      </c>
      <c r="K617" s="22">
        <f t="shared" si="4"/>
        <v>0.004569024647</v>
      </c>
      <c r="L617" s="22">
        <f t="shared" si="5"/>
        <v>0.6777386559</v>
      </c>
      <c r="M617" s="22">
        <f t="shared" si="91"/>
        <v>0.4</v>
      </c>
      <c r="N617" s="22">
        <f t="shared" si="92"/>
        <v>0.6176091241</v>
      </c>
      <c r="O617" s="22">
        <f t="shared" si="93"/>
        <v>0.4057971847</v>
      </c>
      <c r="P617" s="22">
        <f t="shared" si="9"/>
        <v>1.155435089</v>
      </c>
    </row>
    <row r="618">
      <c r="A618" s="18" t="s">
        <v>40</v>
      </c>
      <c r="B618" s="8" t="s">
        <v>92</v>
      </c>
      <c r="C618" s="8">
        <v>23.0</v>
      </c>
      <c r="D618" s="19">
        <v>0.96</v>
      </c>
      <c r="E618" s="8">
        <v>0.75</v>
      </c>
      <c r="F618" s="8">
        <v>0.005</v>
      </c>
      <c r="G618" s="21">
        <v>204.640801553</v>
      </c>
      <c r="H618" s="22">
        <f t="shared" si="1"/>
        <v>0.389</v>
      </c>
      <c r="I618" s="22">
        <f t="shared" si="2"/>
        <v>2.570694087</v>
      </c>
      <c r="J618" s="22">
        <f t="shared" si="3"/>
        <v>1.28</v>
      </c>
      <c r="K618" s="22">
        <f t="shared" si="4"/>
        <v>0.006254862131</v>
      </c>
      <c r="L618" s="22">
        <f t="shared" si="5"/>
        <v>0.9382293196</v>
      </c>
      <c r="M618" s="22">
        <f t="shared" si="91"/>
        <v>0.2</v>
      </c>
      <c r="N618" s="22">
        <f t="shared" si="92"/>
        <v>0.4387976235</v>
      </c>
      <c r="O618" s="22">
        <f t="shared" si="93"/>
        <v>0.532267189</v>
      </c>
      <c r="P618" s="22">
        <f t="shared" si="9"/>
        <v>1.19899802</v>
      </c>
    </row>
    <row r="619">
      <c r="A619" s="18" t="s">
        <v>40</v>
      </c>
      <c r="B619" s="8" t="s">
        <v>92</v>
      </c>
      <c r="C619" s="8">
        <v>24.0</v>
      </c>
      <c r="D619" s="19">
        <v>0.96</v>
      </c>
      <c r="E619" s="8">
        <v>1.1</v>
      </c>
      <c r="F619" s="8">
        <v>0.008</v>
      </c>
      <c r="G619" s="21">
        <v>291.446825527999</v>
      </c>
      <c r="H619" s="22">
        <f t="shared" si="1"/>
        <v>0.6224</v>
      </c>
      <c r="I619" s="22">
        <f t="shared" si="2"/>
        <v>1.606683805</v>
      </c>
      <c r="J619" s="22">
        <f t="shared" si="3"/>
        <v>0.8727272727</v>
      </c>
      <c r="K619" s="22">
        <f t="shared" si="4"/>
        <v>0.002994464843</v>
      </c>
      <c r="L619" s="22">
        <f t="shared" si="5"/>
        <v>0.411738916</v>
      </c>
      <c r="M619" s="22">
        <f t="shared" si="91"/>
        <v>0.8</v>
      </c>
      <c r="N619" s="22">
        <f t="shared" si="92"/>
        <v>0.9325223664</v>
      </c>
      <c r="O619" s="22">
        <f t="shared" si="93"/>
        <v>0.2641883237</v>
      </c>
      <c r="P619" s="22">
        <f t="shared" si="9"/>
        <v>1.073623537</v>
      </c>
    </row>
    <row r="620">
      <c r="A620" s="18" t="s">
        <v>40</v>
      </c>
      <c r="B620" s="8" t="s">
        <v>92</v>
      </c>
      <c r="C620" s="8">
        <v>25.0</v>
      </c>
      <c r="D620" s="19">
        <v>0.96</v>
      </c>
      <c r="E620" s="8">
        <v>1.08</v>
      </c>
      <c r="F620" s="8">
        <v>0.008</v>
      </c>
      <c r="G620" s="21">
        <v>289.427478091</v>
      </c>
      <c r="H620" s="22">
        <f t="shared" si="1"/>
        <v>0.6224</v>
      </c>
      <c r="I620" s="22">
        <f t="shared" si="2"/>
        <v>1.606683805</v>
      </c>
      <c r="J620" s="22">
        <f t="shared" si="3"/>
        <v>0.8888888889</v>
      </c>
      <c r="K620" s="22">
        <f t="shared" si="4"/>
        <v>0.003071197299</v>
      </c>
      <c r="L620" s="22">
        <f t="shared" si="5"/>
        <v>0.4146116353</v>
      </c>
      <c r="M620" s="22">
        <f t="shared" si="91"/>
        <v>0.8</v>
      </c>
      <c r="N620" s="22">
        <f t="shared" si="92"/>
        <v>0.9210369677</v>
      </c>
      <c r="O620" s="22">
        <f t="shared" si="93"/>
        <v>0.2657678395</v>
      </c>
      <c r="P620" s="22">
        <f t="shared" si="9"/>
        <v>1.06724276</v>
      </c>
    </row>
    <row r="621">
      <c r="A621" s="18" t="s">
        <v>40</v>
      </c>
      <c r="B621" s="8" t="s">
        <v>92</v>
      </c>
      <c r="C621" s="8">
        <v>26.0</v>
      </c>
      <c r="D621" s="19">
        <v>0.96</v>
      </c>
      <c r="E621" s="8">
        <v>1.13</v>
      </c>
      <c r="F621" s="8">
        <v>0.008</v>
      </c>
      <c r="G621" s="21">
        <v>295.748094265</v>
      </c>
      <c r="H621" s="22">
        <f t="shared" si="1"/>
        <v>0.6224</v>
      </c>
      <c r="I621" s="22">
        <f t="shared" si="2"/>
        <v>1.606683805</v>
      </c>
      <c r="J621" s="22">
        <f t="shared" si="3"/>
        <v>0.8495575221</v>
      </c>
      <c r="K621" s="22">
        <f t="shared" si="4"/>
        <v>0.002872571417</v>
      </c>
      <c r="L621" s="22">
        <f t="shared" si="5"/>
        <v>0.4057507126</v>
      </c>
      <c r="M621" s="22">
        <f t="shared" si="91"/>
        <v>0.8</v>
      </c>
      <c r="N621" s="22">
        <f t="shared" si="92"/>
        <v>0.9569865995</v>
      </c>
      <c r="O621" s="22">
        <f t="shared" si="93"/>
        <v>0.260885713</v>
      </c>
      <c r="P621" s="22">
        <f t="shared" si="9"/>
        <v>1.087214777</v>
      </c>
    </row>
    <row r="622">
      <c r="A622" s="18" t="s">
        <v>40</v>
      </c>
      <c r="B622" s="8" t="s">
        <v>92</v>
      </c>
      <c r="C622" s="8">
        <v>27.0</v>
      </c>
      <c r="D622" s="19">
        <v>0.96</v>
      </c>
      <c r="E622" s="8">
        <v>0.62</v>
      </c>
      <c r="F622" s="8">
        <v>0.004</v>
      </c>
      <c r="G622" s="21">
        <v>167.482624206</v>
      </c>
      <c r="H622" s="22">
        <f t="shared" si="1"/>
        <v>0.3112</v>
      </c>
      <c r="I622" s="22">
        <f t="shared" si="2"/>
        <v>3.213367609</v>
      </c>
      <c r="J622" s="22">
        <f t="shared" si="3"/>
        <v>1.548387097</v>
      </c>
      <c r="K622" s="22">
        <f t="shared" si="4"/>
        <v>0.009245061117</v>
      </c>
      <c r="L622" s="22">
        <f t="shared" si="5"/>
        <v>1.432984473</v>
      </c>
      <c r="M622" s="22">
        <f t="shared" si="91"/>
        <v>0</v>
      </c>
      <c r="N622" s="22">
        <f t="shared" si="92"/>
        <v>0.2274538628</v>
      </c>
      <c r="O622" s="22">
        <f t="shared" si="93"/>
        <v>0.748695937</v>
      </c>
      <c r="P622" s="22">
        <f t="shared" si="9"/>
        <v>1.227453863</v>
      </c>
    </row>
    <row r="623">
      <c r="A623" s="18" t="s">
        <v>40</v>
      </c>
      <c r="B623" s="8" t="s">
        <v>92</v>
      </c>
      <c r="C623" s="8">
        <v>28.0</v>
      </c>
      <c r="D623" s="19">
        <v>0.96</v>
      </c>
      <c r="E623" s="8">
        <v>0.79</v>
      </c>
      <c r="F623" s="8">
        <v>0.006</v>
      </c>
      <c r="G623" s="21">
        <v>215.836622516999</v>
      </c>
      <c r="H623" s="22">
        <f t="shared" si="1"/>
        <v>0.4668</v>
      </c>
      <c r="I623" s="22">
        <f t="shared" si="2"/>
        <v>2.142245073</v>
      </c>
      <c r="J623" s="22">
        <f t="shared" si="3"/>
        <v>1.215189873</v>
      </c>
      <c r="K623" s="22">
        <f t="shared" si="4"/>
        <v>0.005630137551</v>
      </c>
      <c r="L623" s="22">
        <f t="shared" si="5"/>
        <v>0.7413014443</v>
      </c>
      <c r="M623" s="22">
        <f t="shared" si="91"/>
        <v>0.4</v>
      </c>
      <c r="N623" s="22">
        <f t="shared" si="92"/>
        <v>0.502475852</v>
      </c>
      <c r="O623" s="22">
        <f t="shared" si="93"/>
        <v>0.4368930307</v>
      </c>
      <c r="P623" s="22">
        <f t="shared" si="9"/>
        <v>1.073197037</v>
      </c>
    </row>
    <row r="624">
      <c r="A624" s="18" t="s">
        <v>40</v>
      </c>
      <c r="B624" s="8" t="s">
        <v>92</v>
      </c>
      <c r="C624" s="8">
        <v>29.0</v>
      </c>
      <c r="D624" s="19">
        <v>0.96</v>
      </c>
      <c r="E624" s="8">
        <v>0.8</v>
      </c>
      <c r="F624" s="8">
        <v>0.006</v>
      </c>
      <c r="G624" s="21">
        <v>216.828716414999</v>
      </c>
      <c r="H624" s="22">
        <f t="shared" si="1"/>
        <v>0.4668</v>
      </c>
      <c r="I624" s="22">
        <f t="shared" si="2"/>
        <v>2.142245073</v>
      </c>
      <c r="J624" s="22">
        <f t="shared" si="3"/>
        <v>1.2</v>
      </c>
      <c r="K624" s="22">
        <f t="shared" si="4"/>
        <v>0.005534322298</v>
      </c>
      <c r="L624" s="22">
        <f t="shared" si="5"/>
        <v>0.7379096397</v>
      </c>
      <c r="M624" s="22">
        <f t="shared" si="91"/>
        <v>0.4</v>
      </c>
      <c r="N624" s="22">
        <f t="shared" si="92"/>
        <v>0.508118563</v>
      </c>
      <c r="O624" s="22">
        <f t="shared" si="93"/>
        <v>0.4352583707</v>
      </c>
      <c r="P624" s="22">
        <f t="shared" si="9"/>
        <v>1.077227545</v>
      </c>
    </row>
    <row r="625">
      <c r="A625" s="18" t="s">
        <v>40</v>
      </c>
      <c r="B625" s="8" t="s">
        <v>92</v>
      </c>
      <c r="C625" s="8">
        <v>30.0</v>
      </c>
      <c r="D625" s="19">
        <v>0.96</v>
      </c>
      <c r="E625" s="8">
        <v>0.82</v>
      </c>
      <c r="F625" s="8">
        <v>0.006</v>
      </c>
      <c r="G625" s="21">
        <v>223.483724661</v>
      </c>
      <c r="H625" s="22">
        <f t="shared" si="1"/>
        <v>0.4668</v>
      </c>
      <c r="I625" s="22">
        <f t="shared" si="2"/>
        <v>2.142245073</v>
      </c>
      <c r="J625" s="22">
        <f t="shared" si="3"/>
        <v>1.170731707</v>
      </c>
      <c r="K625" s="22">
        <f t="shared" si="4"/>
        <v>0.00523855466</v>
      </c>
      <c r="L625" s="22">
        <f t="shared" si="5"/>
        <v>0.7159358036</v>
      </c>
      <c r="M625" s="22">
        <f t="shared" si="91"/>
        <v>0.4</v>
      </c>
      <c r="N625" s="22">
        <f t="shared" si="92"/>
        <v>0.5459701093</v>
      </c>
      <c r="O625" s="22">
        <f t="shared" si="93"/>
        <v>0.4246015008</v>
      </c>
      <c r="P625" s="22">
        <f t="shared" si="9"/>
        <v>1.104264364</v>
      </c>
    </row>
    <row r="626">
      <c r="A626" s="18" t="s">
        <v>40</v>
      </c>
      <c r="B626" s="8" t="s">
        <v>92</v>
      </c>
      <c r="C626" s="8">
        <v>31.0</v>
      </c>
      <c r="D626" s="19">
        <v>0.96</v>
      </c>
      <c r="E626" s="8">
        <v>0.91</v>
      </c>
      <c r="F626" s="8">
        <v>0.007</v>
      </c>
      <c r="G626" s="21">
        <v>246.724319777</v>
      </c>
      <c r="H626" s="22">
        <f t="shared" si="1"/>
        <v>0.5446</v>
      </c>
      <c r="I626" s="22">
        <f t="shared" si="2"/>
        <v>1.836210062</v>
      </c>
      <c r="J626" s="22">
        <f t="shared" si="3"/>
        <v>1.054945055</v>
      </c>
      <c r="K626" s="22">
        <f t="shared" si="4"/>
        <v>0.004275804898</v>
      </c>
      <c r="L626" s="22">
        <f t="shared" si="5"/>
        <v>0.5558546367</v>
      </c>
      <c r="M626" s="22">
        <f t="shared" si="91"/>
        <v>0.6</v>
      </c>
      <c r="N626" s="22">
        <f t="shared" si="92"/>
        <v>0.6781551389</v>
      </c>
      <c r="O626" s="22">
        <f t="shared" si="93"/>
        <v>0.3422619052</v>
      </c>
      <c r="P626" s="22">
        <f t="shared" si="9"/>
        <v>1.048846962</v>
      </c>
    </row>
    <row r="627">
      <c r="A627" s="18" t="s">
        <v>40</v>
      </c>
      <c r="B627" s="8" t="s">
        <v>92</v>
      </c>
      <c r="C627" s="8">
        <v>32.0</v>
      </c>
      <c r="D627" s="19">
        <v>0.96</v>
      </c>
      <c r="E627" s="8">
        <v>0.83</v>
      </c>
      <c r="F627" s="8">
        <v>0.006</v>
      </c>
      <c r="G627" s="21">
        <v>224.201918476</v>
      </c>
      <c r="H627" s="22">
        <f t="shared" si="1"/>
        <v>0.4668</v>
      </c>
      <c r="I627" s="22">
        <f t="shared" si="2"/>
        <v>2.142245073</v>
      </c>
      <c r="J627" s="22">
        <f t="shared" si="3"/>
        <v>1.156626506</v>
      </c>
      <c r="K627" s="22">
        <f t="shared" si="4"/>
        <v>0.005158860878</v>
      </c>
      <c r="L627" s="22">
        <f t="shared" si="5"/>
        <v>0.7136424215</v>
      </c>
      <c r="M627" s="22">
        <f t="shared" si="91"/>
        <v>0.4</v>
      </c>
      <c r="N627" s="22">
        <f t="shared" si="92"/>
        <v>0.5500549647</v>
      </c>
      <c r="O627" s="22">
        <f t="shared" si="93"/>
        <v>0.4234825497</v>
      </c>
      <c r="P627" s="22">
        <f t="shared" si="9"/>
        <v>1.107182118</v>
      </c>
    </row>
    <row r="628">
      <c r="A628" s="18" t="s">
        <v>40</v>
      </c>
      <c r="B628" s="8" t="s">
        <v>92</v>
      </c>
      <c r="C628" s="8">
        <v>33.0</v>
      </c>
      <c r="D628" s="19">
        <v>0.96</v>
      </c>
      <c r="E628" s="8">
        <v>0.82</v>
      </c>
      <c r="F628" s="8">
        <v>0.006</v>
      </c>
      <c r="G628" s="21">
        <v>225.439331259</v>
      </c>
      <c r="H628" s="22">
        <f t="shared" si="1"/>
        <v>0.4668</v>
      </c>
      <c r="I628" s="22">
        <f t="shared" si="2"/>
        <v>2.142245073</v>
      </c>
      <c r="J628" s="22">
        <f t="shared" si="3"/>
        <v>1.170731707</v>
      </c>
      <c r="K628" s="22">
        <f t="shared" si="4"/>
        <v>0.005193112048</v>
      </c>
      <c r="L628" s="22">
        <f t="shared" si="5"/>
        <v>0.7097253133</v>
      </c>
      <c r="M628" s="22">
        <f t="shared" si="91"/>
        <v>0.4</v>
      </c>
      <c r="N628" s="22">
        <f t="shared" si="92"/>
        <v>0.5570929706</v>
      </c>
      <c r="O628" s="22">
        <f t="shared" si="93"/>
        <v>0.4215684233</v>
      </c>
      <c r="P628" s="22">
        <f t="shared" si="9"/>
        <v>1.112209265</v>
      </c>
    </row>
    <row r="629">
      <c r="A629" s="18" t="s">
        <v>40</v>
      </c>
      <c r="B629" s="8" t="s">
        <v>94</v>
      </c>
      <c r="C629" s="8">
        <v>1.0</v>
      </c>
      <c r="D629" s="19">
        <v>0.96</v>
      </c>
      <c r="E629" s="8">
        <v>1.7</v>
      </c>
      <c r="F629" s="8">
        <v>0.005</v>
      </c>
      <c r="G629" s="21">
        <v>168.334345528999</v>
      </c>
      <c r="H629" s="22">
        <f t="shared" si="1"/>
        <v>0.389</v>
      </c>
      <c r="I629" s="22">
        <f t="shared" si="2"/>
        <v>2.570694087</v>
      </c>
      <c r="J629" s="22">
        <f t="shared" si="3"/>
        <v>0.5647058824</v>
      </c>
      <c r="K629" s="22">
        <f t="shared" si="4"/>
        <v>0.003354668238</v>
      </c>
      <c r="L629" s="22">
        <f t="shared" si="5"/>
        <v>1.140587201</v>
      </c>
      <c r="M629" s="22">
        <f t="shared" si="91"/>
        <v>0.2</v>
      </c>
      <c r="N629" s="22">
        <f t="shared" si="92"/>
        <v>0.2322981798</v>
      </c>
      <c r="O629" s="22">
        <f t="shared" si="93"/>
        <v>0.6214606004</v>
      </c>
      <c r="P629" s="22">
        <f t="shared" si="9"/>
        <v>1.02691515</v>
      </c>
    </row>
    <row r="630">
      <c r="A630" s="18" t="s">
        <v>40</v>
      </c>
      <c r="B630" s="8" t="s">
        <v>94</v>
      </c>
      <c r="C630" s="8">
        <v>2.0</v>
      </c>
      <c r="D630" s="19">
        <v>0.96</v>
      </c>
      <c r="E630" s="8">
        <v>2.1</v>
      </c>
      <c r="F630" s="8">
        <v>0.006</v>
      </c>
      <c r="G630" s="21">
        <v>203.190252200999</v>
      </c>
      <c r="H630" s="22">
        <f t="shared" si="1"/>
        <v>0.4668</v>
      </c>
      <c r="I630" s="22">
        <f t="shared" si="2"/>
        <v>2.142245073</v>
      </c>
      <c r="J630" s="22">
        <f t="shared" si="3"/>
        <v>0.4571428571</v>
      </c>
      <c r="K630" s="22">
        <f t="shared" si="4"/>
        <v>0.002249826713</v>
      </c>
      <c r="L630" s="22">
        <f t="shared" si="5"/>
        <v>0.7874393494</v>
      </c>
      <c r="M630" s="22">
        <f t="shared" si="91"/>
        <v>0.4</v>
      </c>
      <c r="N630" s="22">
        <f t="shared" si="92"/>
        <v>0.4305473654</v>
      </c>
      <c r="O630" s="22">
        <f t="shared" si="93"/>
        <v>0.4588601849</v>
      </c>
      <c r="P630" s="22">
        <f t="shared" si="9"/>
        <v>1.021819547</v>
      </c>
    </row>
    <row r="631">
      <c r="A631" s="18" t="s">
        <v>40</v>
      </c>
      <c r="B631" s="8" t="s">
        <v>94</v>
      </c>
      <c r="C631" s="8">
        <v>3.0</v>
      </c>
      <c r="D631" s="19">
        <v>0.96</v>
      </c>
      <c r="E631" s="8">
        <v>1.64</v>
      </c>
      <c r="F631" s="8">
        <v>0.005</v>
      </c>
      <c r="G631" s="21">
        <v>158.455893662999</v>
      </c>
      <c r="H631" s="22">
        <f t="shared" si="1"/>
        <v>0.389</v>
      </c>
      <c r="I631" s="22">
        <f t="shared" si="2"/>
        <v>2.570694087</v>
      </c>
      <c r="J631" s="22">
        <f t="shared" si="3"/>
        <v>0.5853658537</v>
      </c>
      <c r="K631" s="22">
        <f t="shared" si="4"/>
        <v>0.003694187954</v>
      </c>
      <c r="L631" s="22">
        <f t="shared" si="5"/>
        <v>1.211693649</v>
      </c>
      <c r="M631" s="22">
        <f t="shared" si="91"/>
        <v>0.2</v>
      </c>
      <c r="N631" s="22">
        <f t="shared" si="92"/>
        <v>0.176112723</v>
      </c>
      <c r="O631" s="22">
        <f t="shared" si="93"/>
        <v>0.6511491217</v>
      </c>
      <c r="P631" s="22">
        <f t="shared" si="9"/>
        <v>0.9800939358</v>
      </c>
    </row>
    <row r="632">
      <c r="A632" s="18" t="s">
        <v>40</v>
      </c>
      <c r="B632" s="8" t="s">
        <v>94</v>
      </c>
      <c r="C632" s="8">
        <v>4.0</v>
      </c>
      <c r="D632" s="19">
        <v>0.96</v>
      </c>
      <c r="E632" s="8">
        <v>1.47</v>
      </c>
      <c r="F632" s="8">
        <v>0.004</v>
      </c>
      <c r="G632" s="21">
        <v>142.246394334999</v>
      </c>
      <c r="H632" s="22">
        <f t="shared" si="1"/>
        <v>0.3112</v>
      </c>
      <c r="I632" s="22">
        <f t="shared" si="2"/>
        <v>3.213367609</v>
      </c>
      <c r="J632" s="22">
        <f t="shared" si="3"/>
        <v>0.6530612245</v>
      </c>
      <c r="K632" s="22">
        <f t="shared" si="4"/>
        <v>0.004591056438</v>
      </c>
      <c r="L632" s="22">
        <f t="shared" si="5"/>
        <v>1.687213241</v>
      </c>
      <c r="M632" s="22">
        <f t="shared" si="91"/>
        <v>0</v>
      </c>
      <c r="N632" s="22">
        <f t="shared" si="92"/>
        <v>0.08391830466</v>
      </c>
      <c r="O632" s="22">
        <f t="shared" si="93"/>
        <v>0.8478403917</v>
      </c>
      <c r="P632" s="22">
        <f t="shared" si="9"/>
        <v>1.083918305</v>
      </c>
    </row>
    <row r="633">
      <c r="A633" s="18" t="s">
        <v>40</v>
      </c>
      <c r="B633" s="8" t="s">
        <v>94</v>
      </c>
      <c r="C633" s="8">
        <v>5.0</v>
      </c>
      <c r="D633" s="19">
        <v>0.96</v>
      </c>
      <c r="E633" s="8">
        <v>2.22</v>
      </c>
      <c r="F633" s="8">
        <v>0.006</v>
      </c>
      <c r="G633" s="21">
        <v>210.321082818999</v>
      </c>
      <c r="H633" s="22">
        <f t="shared" si="1"/>
        <v>0.4668</v>
      </c>
      <c r="I633" s="22">
        <f t="shared" si="2"/>
        <v>2.142245073</v>
      </c>
      <c r="J633" s="22">
        <f t="shared" si="3"/>
        <v>0.4324324324</v>
      </c>
      <c r="K633" s="22">
        <f t="shared" si="4"/>
        <v>0.002056058416</v>
      </c>
      <c r="L633" s="22">
        <f t="shared" si="5"/>
        <v>0.760741614</v>
      </c>
      <c r="M633" s="22">
        <f t="shared" si="91"/>
        <v>0.4</v>
      </c>
      <c r="N633" s="22">
        <f t="shared" si="92"/>
        <v>0.4711052363</v>
      </c>
      <c r="O633" s="22">
        <f t="shared" si="93"/>
        <v>0.4462095657</v>
      </c>
      <c r="P633" s="22">
        <f t="shared" si="9"/>
        <v>1.050789454</v>
      </c>
    </row>
    <row r="634">
      <c r="A634" s="18" t="s">
        <v>40</v>
      </c>
      <c r="B634" s="8" t="s">
        <v>94</v>
      </c>
      <c r="C634" s="8">
        <v>6.0</v>
      </c>
      <c r="D634" s="19">
        <v>0.96</v>
      </c>
      <c r="E634" s="8">
        <v>1.63</v>
      </c>
      <c r="F634" s="8">
        <v>0.005</v>
      </c>
      <c r="G634" s="21">
        <v>159.343588559999</v>
      </c>
      <c r="H634" s="22">
        <f t="shared" si="1"/>
        <v>0.389</v>
      </c>
      <c r="I634" s="22">
        <f t="shared" si="2"/>
        <v>2.570694087</v>
      </c>
      <c r="J634" s="22">
        <f t="shared" si="3"/>
        <v>0.5889570552</v>
      </c>
      <c r="K634" s="22">
        <f t="shared" si="4"/>
        <v>0.003696145295</v>
      </c>
      <c r="L634" s="22">
        <f t="shared" si="5"/>
        <v>1.204943366</v>
      </c>
      <c r="M634" s="22">
        <f t="shared" si="91"/>
        <v>0.2</v>
      </c>
      <c r="N634" s="22">
        <f t="shared" si="92"/>
        <v>0.181161646</v>
      </c>
      <c r="O634" s="22">
        <f t="shared" si="93"/>
        <v>0.6483657586</v>
      </c>
      <c r="P634" s="22">
        <f t="shared" si="9"/>
        <v>0.9843013717</v>
      </c>
    </row>
    <row r="635">
      <c r="A635" s="18" t="s">
        <v>40</v>
      </c>
      <c r="B635" s="8" t="s">
        <v>94</v>
      </c>
      <c r="C635" s="8">
        <v>7.0</v>
      </c>
      <c r="D635" s="19">
        <v>0.96</v>
      </c>
      <c r="E635" s="8">
        <v>2.04</v>
      </c>
      <c r="F635" s="8">
        <v>0.006</v>
      </c>
      <c r="G635" s="21">
        <v>195.278277862</v>
      </c>
      <c r="H635" s="22">
        <f t="shared" si="1"/>
        <v>0.4668</v>
      </c>
      <c r="I635" s="22">
        <f t="shared" si="2"/>
        <v>2.142245073</v>
      </c>
      <c r="J635" s="22">
        <f t="shared" si="3"/>
        <v>0.4705882353</v>
      </c>
      <c r="K635" s="22">
        <f t="shared" si="4"/>
        <v>0.002409834009</v>
      </c>
      <c r="L635" s="22">
        <f t="shared" si="5"/>
        <v>0.8193435632</v>
      </c>
      <c r="M635" s="22">
        <f t="shared" si="91"/>
        <v>0.4</v>
      </c>
      <c r="N635" s="22">
        <f t="shared" si="92"/>
        <v>0.3855466003</v>
      </c>
      <c r="O635" s="22">
        <f t="shared" si="93"/>
        <v>0.4737633714</v>
      </c>
      <c r="P635" s="22">
        <f t="shared" si="9"/>
        <v>0.989676143</v>
      </c>
    </row>
    <row r="636">
      <c r="A636" s="18" t="s">
        <v>40</v>
      </c>
      <c r="B636" s="8" t="s">
        <v>94</v>
      </c>
      <c r="C636" s="8">
        <v>8.0</v>
      </c>
      <c r="D636" s="19">
        <v>0.96</v>
      </c>
      <c r="E636" s="8">
        <v>2.1</v>
      </c>
      <c r="F636" s="8">
        <v>0.006</v>
      </c>
      <c r="G636" s="21">
        <v>201.876352422999</v>
      </c>
      <c r="H636" s="22">
        <f t="shared" si="1"/>
        <v>0.4668</v>
      </c>
      <c r="I636" s="22">
        <f t="shared" si="2"/>
        <v>2.142245073</v>
      </c>
      <c r="J636" s="22">
        <f t="shared" si="3"/>
        <v>0.4571428571</v>
      </c>
      <c r="K636" s="22">
        <f t="shared" si="4"/>
        <v>0.002264469571</v>
      </c>
      <c r="L636" s="22">
        <f t="shared" si="5"/>
        <v>0.7925643498</v>
      </c>
      <c r="M636" s="22">
        <f t="shared" si="91"/>
        <v>0.4</v>
      </c>
      <c r="N636" s="22">
        <f t="shared" si="92"/>
        <v>0.4230743261</v>
      </c>
      <c r="O636" s="22">
        <f t="shared" si="93"/>
        <v>0.4612698132</v>
      </c>
      <c r="P636" s="22">
        <f t="shared" si="9"/>
        <v>1.016481661</v>
      </c>
    </row>
    <row r="637">
      <c r="A637" s="18" t="s">
        <v>40</v>
      </c>
      <c r="B637" s="8" t="s">
        <v>94</v>
      </c>
      <c r="C637" s="8">
        <v>9.0</v>
      </c>
      <c r="D637" s="19">
        <v>0.96</v>
      </c>
      <c r="E637" s="8">
        <v>1.58</v>
      </c>
      <c r="F637" s="8">
        <v>0.005</v>
      </c>
      <c r="G637" s="21">
        <v>151.59594331</v>
      </c>
      <c r="H637" s="22">
        <f t="shared" si="1"/>
        <v>0.389</v>
      </c>
      <c r="I637" s="22">
        <f t="shared" si="2"/>
        <v>2.570694087</v>
      </c>
      <c r="J637" s="22">
        <f t="shared" si="3"/>
        <v>0.6075949367</v>
      </c>
      <c r="K637" s="22">
        <f t="shared" si="4"/>
        <v>0.004007989419</v>
      </c>
      <c r="L637" s="22">
        <f t="shared" si="5"/>
        <v>1.266524656</v>
      </c>
      <c r="M637" s="22">
        <f t="shared" si="91"/>
        <v>0.2</v>
      </c>
      <c r="N637" s="22">
        <f t="shared" si="92"/>
        <v>0.1370955319</v>
      </c>
      <c r="O637" s="22">
        <f t="shared" si="93"/>
        <v>0.6734920199</v>
      </c>
      <c r="P637" s="22">
        <f t="shared" si="9"/>
        <v>0.9475796099</v>
      </c>
    </row>
    <row r="638">
      <c r="A638" s="18" t="s">
        <v>40</v>
      </c>
      <c r="B638" s="8" t="s">
        <v>94</v>
      </c>
      <c r="C638" s="8">
        <v>10.0</v>
      </c>
      <c r="D638" s="19">
        <v>0.96</v>
      </c>
      <c r="E638" s="8">
        <v>1.66</v>
      </c>
      <c r="F638" s="8">
        <v>0.005</v>
      </c>
      <c r="G638" s="21">
        <v>161.371822929999</v>
      </c>
      <c r="H638" s="22">
        <f t="shared" si="1"/>
        <v>0.389</v>
      </c>
      <c r="I638" s="22">
        <f t="shared" si="2"/>
        <v>2.570694087</v>
      </c>
      <c r="J638" s="22">
        <f t="shared" si="3"/>
        <v>0.578313253</v>
      </c>
      <c r="K638" s="22">
        <f t="shared" si="4"/>
        <v>0.003583731301</v>
      </c>
      <c r="L638" s="22">
        <f t="shared" si="5"/>
        <v>1.189798792</v>
      </c>
      <c r="M638" s="22">
        <f t="shared" si="91"/>
        <v>0.2</v>
      </c>
      <c r="N638" s="22">
        <f t="shared" si="92"/>
        <v>0.1926975907</v>
      </c>
      <c r="O638" s="22">
        <f t="shared" si="93"/>
        <v>0.6420946706</v>
      </c>
      <c r="P638" s="22">
        <f t="shared" si="9"/>
        <v>0.993914659</v>
      </c>
    </row>
    <row r="639">
      <c r="A639" s="18" t="s">
        <v>40</v>
      </c>
      <c r="B639" s="8" t="s">
        <v>94</v>
      </c>
      <c r="C639" s="8">
        <v>11.0</v>
      </c>
      <c r="D639" s="19">
        <v>0.96</v>
      </c>
      <c r="E639" s="8">
        <v>1.7</v>
      </c>
      <c r="F639" s="8">
        <v>0.005</v>
      </c>
      <c r="G639" s="21">
        <v>165.067503059</v>
      </c>
      <c r="H639" s="22">
        <f t="shared" si="1"/>
        <v>0.389</v>
      </c>
      <c r="I639" s="22">
        <f t="shared" si="2"/>
        <v>2.570694087</v>
      </c>
      <c r="J639" s="22">
        <f t="shared" si="3"/>
        <v>0.5647058824</v>
      </c>
      <c r="K639" s="22">
        <f t="shared" si="4"/>
        <v>0.003421060305</v>
      </c>
      <c r="L639" s="22">
        <f t="shared" si="5"/>
        <v>1.163160504</v>
      </c>
      <c r="M639" s="22">
        <f t="shared" si="91"/>
        <v>0.2</v>
      </c>
      <c r="N639" s="22">
        <f t="shared" si="92"/>
        <v>0.2137174306</v>
      </c>
      <c r="O639" s="22">
        <f t="shared" si="93"/>
        <v>0.6309745146</v>
      </c>
      <c r="P639" s="22">
        <f t="shared" si="9"/>
        <v>1.011431192</v>
      </c>
    </row>
    <row r="640">
      <c r="A640" s="18" t="s">
        <v>40</v>
      </c>
      <c r="B640" s="8" t="s">
        <v>94</v>
      </c>
      <c r="C640" s="8">
        <v>12.0</v>
      </c>
      <c r="D640" s="19">
        <v>0.96</v>
      </c>
      <c r="E640" s="8">
        <v>1.3</v>
      </c>
      <c r="F640" s="8">
        <v>0.004</v>
      </c>
      <c r="G640" s="21">
        <v>127.491990244</v>
      </c>
      <c r="H640" s="22">
        <f t="shared" si="1"/>
        <v>0.3112</v>
      </c>
      <c r="I640" s="22">
        <f t="shared" si="2"/>
        <v>3.213367609</v>
      </c>
      <c r="J640" s="22">
        <f t="shared" si="3"/>
        <v>0.7384615385</v>
      </c>
      <c r="K640" s="22">
        <f t="shared" si="4"/>
        <v>0.00579221908</v>
      </c>
      <c r="L640" s="22">
        <f t="shared" si="5"/>
        <v>1.882471201</v>
      </c>
      <c r="M640" s="22">
        <f t="shared" si="91"/>
        <v>0</v>
      </c>
      <c r="N640" s="22">
        <f t="shared" si="92"/>
        <v>0</v>
      </c>
      <c r="O640" s="22">
        <f t="shared" si="93"/>
        <v>0.91898972</v>
      </c>
      <c r="P640" s="22">
        <f t="shared" si="9"/>
        <v>1</v>
      </c>
    </row>
    <row r="641">
      <c r="A641" s="18" t="s">
        <v>40</v>
      </c>
      <c r="B641" s="8" t="s">
        <v>94</v>
      </c>
      <c r="C641" s="8">
        <v>13.0</v>
      </c>
      <c r="D641" s="19">
        <v>0.96</v>
      </c>
      <c r="E641" s="8">
        <v>1.45</v>
      </c>
      <c r="F641" s="8">
        <v>0.004</v>
      </c>
      <c r="G641" s="21">
        <v>140.828406303</v>
      </c>
      <c r="H641" s="22">
        <f t="shared" si="1"/>
        <v>0.3112</v>
      </c>
      <c r="I641" s="22">
        <f t="shared" si="2"/>
        <v>3.213367609</v>
      </c>
      <c r="J641" s="22">
        <f t="shared" si="3"/>
        <v>0.6620689655</v>
      </c>
      <c r="K641" s="22">
        <f t="shared" si="4"/>
        <v>0.004701245884</v>
      </c>
      <c r="L641" s="22">
        <f t="shared" si="5"/>
        <v>1.704201633</v>
      </c>
      <c r="M641" s="22">
        <f t="shared" si="91"/>
        <v>0</v>
      </c>
      <c r="N641" s="22">
        <f t="shared" si="92"/>
        <v>0.07585324484</v>
      </c>
      <c r="O641" s="22">
        <f t="shared" si="93"/>
        <v>0.8541961688</v>
      </c>
      <c r="P641" s="22">
        <f t="shared" si="9"/>
        <v>1.075853245</v>
      </c>
    </row>
    <row r="642">
      <c r="A642" s="18" t="s">
        <v>40</v>
      </c>
      <c r="B642" s="8" t="s">
        <v>94</v>
      </c>
      <c r="C642" s="8">
        <v>14.0</v>
      </c>
      <c r="D642" s="19">
        <v>0.96</v>
      </c>
      <c r="E642" s="8">
        <v>1.87</v>
      </c>
      <c r="F642" s="8">
        <v>0.005</v>
      </c>
      <c r="G642" s="21">
        <v>178.201491741</v>
      </c>
      <c r="H642" s="22">
        <f t="shared" si="1"/>
        <v>0.389</v>
      </c>
      <c r="I642" s="22">
        <f t="shared" si="2"/>
        <v>2.570694087</v>
      </c>
      <c r="J642" s="22">
        <f t="shared" si="3"/>
        <v>0.513368984</v>
      </c>
      <c r="K642" s="22">
        <f t="shared" si="4"/>
        <v>0.00288083438</v>
      </c>
      <c r="L642" s="22">
        <f t="shared" si="5"/>
        <v>1.077432058</v>
      </c>
      <c r="M642" s="22">
        <f t="shared" si="91"/>
        <v>0.2</v>
      </c>
      <c r="N642" s="22">
        <f t="shared" si="92"/>
        <v>0.2884193336</v>
      </c>
      <c r="O642" s="22">
        <f t="shared" si="93"/>
        <v>0.5943909306</v>
      </c>
      <c r="P642" s="22">
        <f t="shared" si="9"/>
        <v>1.073682778</v>
      </c>
    </row>
    <row r="643">
      <c r="A643" s="18" t="s">
        <v>40</v>
      </c>
      <c r="B643" s="8" t="s">
        <v>94</v>
      </c>
      <c r="C643" s="8">
        <v>15.0</v>
      </c>
      <c r="D643" s="19">
        <v>0.96</v>
      </c>
      <c r="E643" s="8">
        <v>1.76</v>
      </c>
      <c r="F643" s="8">
        <v>0.005</v>
      </c>
      <c r="G643" s="21">
        <v>167.0359124</v>
      </c>
      <c r="H643" s="22">
        <f t="shared" si="1"/>
        <v>0.389</v>
      </c>
      <c r="I643" s="22">
        <f t="shared" si="2"/>
        <v>2.570694087</v>
      </c>
      <c r="J643" s="22">
        <f t="shared" si="3"/>
        <v>0.5454545455</v>
      </c>
      <c r="K643" s="22">
        <f t="shared" si="4"/>
        <v>0.003265492657</v>
      </c>
      <c r="L643" s="22">
        <f t="shared" si="5"/>
        <v>1.149453415</v>
      </c>
      <c r="M643" s="22">
        <f t="shared" si="91"/>
        <v>0.2</v>
      </c>
      <c r="N643" s="22">
        <f t="shared" si="92"/>
        <v>0.2249131098</v>
      </c>
      <c r="O643" s="22">
        <f t="shared" si="93"/>
        <v>0.6252074213</v>
      </c>
      <c r="P643" s="22">
        <f t="shared" si="9"/>
        <v>1.020760925</v>
      </c>
    </row>
    <row r="644">
      <c r="A644" s="18" t="s">
        <v>40</v>
      </c>
      <c r="B644" s="8" t="s">
        <v>94</v>
      </c>
      <c r="C644" s="8">
        <v>16.0</v>
      </c>
      <c r="D644" s="19">
        <v>0.96</v>
      </c>
      <c r="E644" s="8">
        <v>2.07</v>
      </c>
      <c r="F644" s="8">
        <v>0.006</v>
      </c>
      <c r="G644" s="21">
        <v>193.628055424999</v>
      </c>
      <c r="H644" s="22">
        <f t="shared" si="1"/>
        <v>0.4668</v>
      </c>
      <c r="I644" s="22">
        <f t="shared" si="2"/>
        <v>2.142245073</v>
      </c>
      <c r="J644" s="22">
        <f t="shared" si="3"/>
        <v>0.4637681159</v>
      </c>
      <c r="K644" s="22">
        <f t="shared" si="4"/>
        <v>0.002395149375</v>
      </c>
      <c r="L644" s="22">
        <f t="shared" si="5"/>
        <v>0.8263265344</v>
      </c>
      <c r="M644" s="22">
        <f t="shared" si="91"/>
        <v>0.4</v>
      </c>
      <c r="N644" s="22">
        <f t="shared" si="92"/>
        <v>0.3761606658</v>
      </c>
      <c r="O644" s="22">
        <f t="shared" si="93"/>
        <v>0.4769946161</v>
      </c>
      <c r="P644" s="22">
        <f t="shared" si="9"/>
        <v>0.9829719042</v>
      </c>
    </row>
    <row r="645">
      <c r="A645" s="18" t="s">
        <v>40</v>
      </c>
      <c r="B645" s="8" t="s">
        <v>94</v>
      </c>
      <c r="C645" s="8">
        <v>17.0</v>
      </c>
      <c r="D645" s="19">
        <v>0.96</v>
      </c>
      <c r="E645" s="8">
        <v>1.81</v>
      </c>
      <c r="F645" s="8">
        <v>0.005</v>
      </c>
      <c r="G645" s="21">
        <v>168.067621790999</v>
      </c>
      <c r="H645" s="22">
        <f t="shared" si="1"/>
        <v>0.389</v>
      </c>
      <c r="I645" s="22">
        <f t="shared" si="2"/>
        <v>2.570694087</v>
      </c>
      <c r="J645" s="22">
        <f t="shared" si="3"/>
        <v>0.5303867403</v>
      </c>
      <c r="K645" s="22">
        <f t="shared" si="4"/>
        <v>0.00315579369</v>
      </c>
      <c r="L645" s="22">
        <f t="shared" si="5"/>
        <v>1.142397316</v>
      </c>
      <c r="M645" s="22">
        <f t="shared" si="91"/>
        <v>0.2</v>
      </c>
      <c r="N645" s="22">
        <f t="shared" si="92"/>
        <v>0.2307811409</v>
      </c>
      <c r="O645" s="22">
        <f t="shared" si="93"/>
        <v>0.6222266016</v>
      </c>
      <c r="P645" s="22">
        <f t="shared" si="9"/>
        <v>1.025650951</v>
      </c>
    </row>
    <row r="646">
      <c r="A646" s="18" t="s">
        <v>40</v>
      </c>
      <c r="B646" s="8" t="s">
        <v>94</v>
      </c>
      <c r="C646" s="8">
        <v>18.0</v>
      </c>
      <c r="D646" s="19">
        <v>0.96</v>
      </c>
      <c r="E646" s="8">
        <v>2.31</v>
      </c>
      <c r="F646" s="8">
        <v>0.007</v>
      </c>
      <c r="G646" s="21">
        <v>216.060369784</v>
      </c>
      <c r="H646" s="22">
        <f t="shared" si="1"/>
        <v>0.5446</v>
      </c>
      <c r="I646" s="22">
        <f t="shared" si="2"/>
        <v>1.836210062</v>
      </c>
      <c r="J646" s="22">
        <f t="shared" si="3"/>
        <v>0.4155844156</v>
      </c>
      <c r="K646" s="22">
        <f t="shared" si="4"/>
        <v>0.001923464335</v>
      </c>
      <c r="L646" s="22">
        <f t="shared" si="5"/>
        <v>0.6347432307</v>
      </c>
      <c r="M646" s="22">
        <f t="shared" si="91"/>
        <v>0.6</v>
      </c>
      <c r="N646" s="22">
        <f t="shared" si="92"/>
        <v>0.5037484545</v>
      </c>
      <c r="O646" s="22">
        <f t="shared" si="93"/>
        <v>0.3819578822</v>
      </c>
      <c r="P646" s="22">
        <f t="shared" si="9"/>
        <v>0.939842784</v>
      </c>
    </row>
    <row r="647">
      <c r="A647" s="18" t="s">
        <v>40</v>
      </c>
      <c r="B647" s="8" t="s">
        <v>94</v>
      </c>
      <c r="C647" s="8">
        <v>19.0</v>
      </c>
      <c r="D647" s="19">
        <v>0.96</v>
      </c>
      <c r="E647" s="8">
        <v>1.95</v>
      </c>
      <c r="F647" s="8">
        <v>0.006</v>
      </c>
      <c r="G647" s="21">
        <v>183.829822287</v>
      </c>
      <c r="H647" s="22">
        <f t="shared" si="1"/>
        <v>0.4668</v>
      </c>
      <c r="I647" s="22">
        <f t="shared" si="2"/>
        <v>2.142245073</v>
      </c>
      <c r="J647" s="22">
        <f t="shared" si="3"/>
        <v>0.4923076923</v>
      </c>
      <c r="K647" s="22">
        <f t="shared" si="4"/>
        <v>0.002678062167</v>
      </c>
      <c r="L647" s="22">
        <f t="shared" si="5"/>
        <v>0.8703702044</v>
      </c>
      <c r="M647" s="22">
        <f t="shared" si="91"/>
        <v>0.4</v>
      </c>
      <c r="N647" s="22">
        <f t="shared" si="92"/>
        <v>0.3204314674</v>
      </c>
      <c r="O647" s="22">
        <f t="shared" si="93"/>
        <v>0.4971263142</v>
      </c>
      <c r="P647" s="22">
        <f t="shared" si="9"/>
        <v>0.9431653338</v>
      </c>
    </row>
    <row r="648">
      <c r="A648" s="18" t="s">
        <v>40</v>
      </c>
      <c r="B648" s="8" t="s">
        <v>94</v>
      </c>
      <c r="C648" s="8">
        <v>20.0</v>
      </c>
      <c r="D648" s="19">
        <v>0.96</v>
      </c>
      <c r="E648" s="8">
        <v>1.68</v>
      </c>
      <c r="F648" s="8">
        <v>0.005</v>
      </c>
      <c r="G648" s="21">
        <v>159.399442882999</v>
      </c>
      <c r="H648" s="22">
        <f t="shared" si="1"/>
        <v>0.389</v>
      </c>
      <c r="I648" s="22">
        <f t="shared" si="2"/>
        <v>2.570694087</v>
      </c>
      <c r="J648" s="22">
        <f t="shared" si="3"/>
        <v>0.5714285714</v>
      </c>
      <c r="K648" s="22">
        <f t="shared" si="4"/>
        <v>0.00358488437</v>
      </c>
      <c r="L648" s="22">
        <f t="shared" si="5"/>
        <v>1.204521148</v>
      </c>
      <c r="M648" s="22">
        <f t="shared" si="91"/>
        <v>0.2</v>
      </c>
      <c r="N648" s="22">
        <f t="shared" si="92"/>
        <v>0.1814793275</v>
      </c>
      <c r="O648" s="22">
        <f t="shared" si="93"/>
        <v>0.6481914231</v>
      </c>
      <c r="P648" s="22">
        <f t="shared" si="9"/>
        <v>0.9845661062</v>
      </c>
    </row>
    <row r="649">
      <c r="A649" s="18" t="s">
        <v>40</v>
      </c>
      <c r="B649" s="8" t="s">
        <v>94</v>
      </c>
      <c r="C649" s="8">
        <v>21.0</v>
      </c>
      <c r="D649" s="19">
        <v>0.96</v>
      </c>
      <c r="E649" s="8">
        <v>1.61</v>
      </c>
      <c r="F649" s="8">
        <v>0.005</v>
      </c>
      <c r="G649" s="21">
        <v>153.564556563</v>
      </c>
      <c r="H649" s="22">
        <f t="shared" si="1"/>
        <v>0.389</v>
      </c>
      <c r="I649" s="22">
        <f t="shared" si="2"/>
        <v>2.570694087</v>
      </c>
      <c r="J649" s="22">
        <f t="shared" si="3"/>
        <v>0.5962732919</v>
      </c>
      <c r="K649" s="22">
        <f t="shared" si="4"/>
        <v>0.003882883559</v>
      </c>
      <c r="L649" s="22">
        <f t="shared" si="5"/>
        <v>1.250288506</v>
      </c>
      <c r="M649" s="22">
        <f t="shared" si="91"/>
        <v>0.2</v>
      </c>
      <c r="N649" s="22">
        <f t="shared" si="92"/>
        <v>0.1482923709</v>
      </c>
      <c r="O649" s="22">
        <f t="shared" si="93"/>
        <v>0.6669248931</v>
      </c>
      <c r="P649" s="22">
        <f t="shared" si="9"/>
        <v>0.9569103091</v>
      </c>
    </row>
    <row r="650">
      <c r="A650" s="18" t="s">
        <v>40</v>
      </c>
      <c r="B650" s="8" t="s">
        <v>94</v>
      </c>
      <c r="C650" s="8">
        <v>22.0</v>
      </c>
      <c r="D650" s="19">
        <v>0.96</v>
      </c>
      <c r="E650" s="8">
        <v>1.66</v>
      </c>
      <c r="F650" s="8">
        <v>0.005</v>
      </c>
      <c r="G650" s="21">
        <v>153.438210637999</v>
      </c>
      <c r="H650" s="22">
        <f t="shared" si="1"/>
        <v>0.389</v>
      </c>
      <c r="I650" s="22">
        <f t="shared" si="2"/>
        <v>2.570694087</v>
      </c>
      <c r="J650" s="22">
        <f t="shared" si="3"/>
        <v>0.578313253</v>
      </c>
      <c r="K650" s="22">
        <f t="shared" si="4"/>
        <v>0.003769030221</v>
      </c>
      <c r="L650" s="22">
        <f t="shared" si="5"/>
        <v>1.251318034</v>
      </c>
      <c r="M650" s="22">
        <f t="shared" si="91"/>
        <v>0.2</v>
      </c>
      <c r="N650" s="22">
        <f t="shared" si="92"/>
        <v>0.1475737559</v>
      </c>
      <c r="O650" s="22">
        <f t="shared" si="93"/>
        <v>0.6673425239</v>
      </c>
      <c r="P650" s="22">
        <f t="shared" si="9"/>
        <v>0.9563114633</v>
      </c>
    </row>
    <row r="651">
      <c r="A651" s="18" t="s">
        <v>40</v>
      </c>
      <c r="B651" s="8" t="s">
        <v>94</v>
      </c>
      <c r="C651" s="8">
        <v>23.0</v>
      </c>
      <c r="D651" s="19">
        <v>0.96</v>
      </c>
      <c r="E651" s="8">
        <v>2.39</v>
      </c>
      <c r="F651" s="8">
        <v>0.007</v>
      </c>
      <c r="G651" s="21">
        <v>222.600521276</v>
      </c>
      <c r="H651" s="22">
        <f t="shared" si="1"/>
        <v>0.5446</v>
      </c>
      <c r="I651" s="22">
        <f t="shared" si="2"/>
        <v>1.836210062</v>
      </c>
      <c r="J651" s="22">
        <f t="shared" si="3"/>
        <v>0.4016736402</v>
      </c>
      <c r="K651" s="22">
        <f t="shared" si="4"/>
        <v>0.001804459567</v>
      </c>
      <c r="L651" s="22">
        <f t="shared" si="5"/>
        <v>0.6160940521</v>
      </c>
      <c r="M651" s="22">
        <f t="shared" si="91"/>
        <v>0.6</v>
      </c>
      <c r="N651" s="22">
        <f t="shared" si="92"/>
        <v>0.5409467325</v>
      </c>
      <c r="O651" s="22">
        <f t="shared" si="93"/>
        <v>0.3727374625</v>
      </c>
      <c r="P651" s="22">
        <f t="shared" si="9"/>
        <v>0.9630917078</v>
      </c>
    </row>
    <row r="652">
      <c r="A652" s="18" t="s">
        <v>40</v>
      </c>
      <c r="B652" s="8" t="s">
        <v>94</v>
      </c>
      <c r="C652" s="8">
        <v>24.0</v>
      </c>
      <c r="D652" s="19">
        <v>0.96</v>
      </c>
      <c r="E652" s="8">
        <v>2.26</v>
      </c>
      <c r="F652" s="8">
        <v>0.006</v>
      </c>
      <c r="G652" s="21">
        <v>207.592695193999</v>
      </c>
      <c r="H652" s="22">
        <f t="shared" si="1"/>
        <v>0.4668</v>
      </c>
      <c r="I652" s="22">
        <f t="shared" si="2"/>
        <v>2.142245073</v>
      </c>
      <c r="J652" s="22">
        <f t="shared" si="3"/>
        <v>0.4247787611</v>
      </c>
      <c r="K652" s="22">
        <f t="shared" si="4"/>
        <v>0.002046212467</v>
      </c>
      <c r="L652" s="22">
        <f t="shared" si="5"/>
        <v>0.7707400294</v>
      </c>
      <c r="M652" s="22">
        <f t="shared" si="91"/>
        <v>0.4</v>
      </c>
      <c r="N652" s="22">
        <f t="shared" si="92"/>
        <v>0.4555870451</v>
      </c>
      <c r="O652" s="22">
        <f t="shared" si="93"/>
        <v>0.4509666603</v>
      </c>
      <c r="P652" s="22">
        <f t="shared" si="9"/>
        <v>1.039705032</v>
      </c>
    </row>
    <row r="653">
      <c r="A653" s="18" t="s">
        <v>40</v>
      </c>
      <c r="B653" s="8" t="s">
        <v>94</v>
      </c>
      <c r="C653" s="8">
        <v>25.0</v>
      </c>
      <c r="D653" s="19">
        <v>0.96</v>
      </c>
      <c r="E653" s="8">
        <v>1.95</v>
      </c>
      <c r="F653" s="8">
        <v>0.006</v>
      </c>
      <c r="G653" s="21">
        <v>182.260821597</v>
      </c>
      <c r="H653" s="22">
        <f t="shared" si="1"/>
        <v>0.4668</v>
      </c>
      <c r="I653" s="22">
        <f t="shared" si="2"/>
        <v>2.142245073</v>
      </c>
      <c r="J653" s="22">
        <f t="shared" si="3"/>
        <v>0.4923076923</v>
      </c>
      <c r="K653" s="22">
        <f t="shared" si="4"/>
        <v>0.002701116389</v>
      </c>
      <c r="L653" s="22">
        <f t="shared" si="5"/>
        <v>0.8778628265</v>
      </c>
      <c r="M653" s="22">
        <f t="shared" si="91"/>
        <v>0.4</v>
      </c>
      <c r="N653" s="22">
        <f t="shared" si="92"/>
        <v>0.3115074961</v>
      </c>
      <c r="O653" s="22">
        <f t="shared" si="93"/>
        <v>0.5005089414</v>
      </c>
      <c r="P653" s="22">
        <f t="shared" si="9"/>
        <v>0.9367910687</v>
      </c>
    </row>
    <row r="654">
      <c r="A654" s="18" t="s">
        <v>40</v>
      </c>
      <c r="B654" s="8" t="s">
        <v>94</v>
      </c>
      <c r="C654" s="8">
        <v>26.0</v>
      </c>
      <c r="D654" s="19">
        <v>0.96</v>
      </c>
      <c r="E654" s="8">
        <v>1.94</v>
      </c>
      <c r="F654" s="8">
        <v>0.006</v>
      </c>
      <c r="G654" s="21">
        <v>179.230853713999</v>
      </c>
      <c r="H654" s="22">
        <f t="shared" si="1"/>
        <v>0.4668</v>
      </c>
      <c r="I654" s="22">
        <f t="shared" si="2"/>
        <v>2.142245073</v>
      </c>
      <c r="J654" s="22">
        <f t="shared" si="3"/>
        <v>0.4948453608</v>
      </c>
      <c r="K654" s="22">
        <f t="shared" si="4"/>
        <v>0.00276093848</v>
      </c>
      <c r="L654" s="22">
        <f t="shared" si="5"/>
        <v>0.8927034419</v>
      </c>
      <c r="M654" s="22">
        <f t="shared" si="91"/>
        <v>0.4</v>
      </c>
      <c r="N654" s="22">
        <f t="shared" si="92"/>
        <v>0.2942740134</v>
      </c>
      <c r="O654" s="22">
        <f t="shared" si="93"/>
        <v>0.5071733047</v>
      </c>
      <c r="P654" s="22">
        <f t="shared" si="9"/>
        <v>0.9244814382</v>
      </c>
    </row>
    <row r="655">
      <c r="A655" s="18" t="s">
        <v>40</v>
      </c>
      <c r="B655" s="8" t="s">
        <v>94</v>
      </c>
      <c r="C655" s="8">
        <v>27.0</v>
      </c>
      <c r="D655" s="19">
        <v>0.96</v>
      </c>
      <c r="E655" s="8">
        <v>1.58</v>
      </c>
      <c r="F655" s="8">
        <v>0.005</v>
      </c>
      <c r="G655" s="21">
        <v>148.676165265</v>
      </c>
      <c r="H655" s="22">
        <f t="shared" si="1"/>
        <v>0.389</v>
      </c>
      <c r="I655" s="22">
        <f t="shared" si="2"/>
        <v>2.570694087</v>
      </c>
      <c r="J655" s="22">
        <f t="shared" si="3"/>
        <v>0.6075949367</v>
      </c>
      <c r="K655" s="22">
        <f t="shared" si="4"/>
        <v>0.004086700351</v>
      </c>
      <c r="L655" s="22">
        <f t="shared" si="5"/>
        <v>1.291397311</v>
      </c>
      <c r="M655" s="22">
        <f t="shared" si="91"/>
        <v>0.2</v>
      </c>
      <c r="N655" s="22">
        <f t="shared" si="92"/>
        <v>0.1204887736</v>
      </c>
      <c r="O655" s="22">
        <f t="shared" si="93"/>
        <v>0.6834738417</v>
      </c>
      <c r="P655" s="22">
        <f t="shared" si="9"/>
        <v>0.9337406446</v>
      </c>
    </row>
    <row r="656">
      <c r="A656" s="18" t="s">
        <v>40</v>
      </c>
      <c r="B656" s="8" t="s">
        <v>94</v>
      </c>
      <c r="C656" s="8">
        <v>28.0</v>
      </c>
      <c r="D656" s="19">
        <v>0.96</v>
      </c>
      <c r="E656" s="8">
        <v>1.67</v>
      </c>
      <c r="F656" s="8">
        <v>0.005</v>
      </c>
      <c r="G656" s="21">
        <v>159.235193074</v>
      </c>
      <c r="H656" s="22">
        <f t="shared" si="1"/>
        <v>0.389</v>
      </c>
      <c r="I656" s="22">
        <f t="shared" si="2"/>
        <v>2.570694087</v>
      </c>
      <c r="J656" s="22">
        <f t="shared" si="3"/>
        <v>0.5748502994</v>
      </c>
      <c r="K656" s="22">
        <f t="shared" si="4"/>
        <v>0.003610070665</v>
      </c>
      <c r="L656" s="22">
        <f t="shared" si="5"/>
        <v>1.205763602</v>
      </c>
      <c r="M656" s="22">
        <f t="shared" si="91"/>
        <v>0.2</v>
      </c>
      <c r="N656" s="22">
        <f t="shared" si="92"/>
        <v>0.1805451274</v>
      </c>
      <c r="O656" s="22">
        <f t="shared" si="93"/>
        <v>0.6487043561</v>
      </c>
      <c r="P656" s="22">
        <f t="shared" si="9"/>
        <v>0.9837876061</v>
      </c>
    </row>
    <row r="657">
      <c r="A657" s="18" t="s">
        <v>40</v>
      </c>
      <c r="B657" s="8" t="s">
        <v>94</v>
      </c>
      <c r="C657" s="8">
        <v>29.0</v>
      </c>
      <c r="D657" s="19">
        <v>0.96</v>
      </c>
      <c r="E657" s="8">
        <v>2.07</v>
      </c>
      <c r="F657" s="8">
        <v>0.006</v>
      </c>
      <c r="G657" s="21">
        <v>190.506852002</v>
      </c>
      <c r="H657" s="22">
        <f t="shared" si="1"/>
        <v>0.4668</v>
      </c>
      <c r="I657" s="22">
        <f t="shared" si="2"/>
        <v>2.142245073</v>
      </c>
      <c r="J657" s="22">
        <f t="shared" si="3"/>
        <v>0.4637681159</v>
      </c>
      <c r="K657" s="22">
        <f t="shared" si="4"/>
        <v>0.002434390737</v>
      </c>
      <c r="L657" s="22">
        <f t="shared" si="5"/>
        <v>0.8398648044</v>
      </c>
      <c r="M657" s="22">
        <f t="shared" si="91"/>
        <v>0.4</v>
      </c>
      <c r="N657" s="22">
        <f t="shared" si="92"/>
        <v>0.3584082647</v>
      </c>
      <c r="O657" s="22">
        <f t="shared" si="93"/>
        <v>0.4832282353</v>
      </c>
      <c r="P657" s="22">
        <f t="shared" si="9"/>
        <v>0.9702916177</v>
      </c>
    </row>
    <row r="658">
      <c r="A658" s="18" t="s">
        <v>40</v>
      </c>
      <c r="B658" s="8" t="s">
        <v>94</v>
      </c>
      <c r="C658" s="8">
        <v>30.0</v>
      </c>
      <c r="D658" s="19">
        <v>0.96</v>
      </c>
      <c r="E658" s="8">
        <v>1.85</v>
      </c>
      <c r="F658" s="8">
        <v>0.005</v>
      </c>
      <c r="G658" s="21">
        <v>171.832460476999</v>
      </c>
      <c r="H658" s="22">
        <f t="shared" si="1"/>
        <v>0.389</v>
      </c>
      <c r="I658" s="22">
        <f t="shared" si="2"/>
        <v>2.570694087</v>
      </c>
      <c r="J658" s="22">
        <f t="shared" si="3"/>
        <v>0.5189189189</v>
      </c>
      <c r="K658" s="22">
        <f t="shared" si="4"/>
        <v>0.003019912055</v>
      </c>
      <c r="L658" s="22">
        <f t="shared" si="5"/>
        <v>1.117367461</v>
      </c>
      <c r="M658" s="22">
        <f t="shared" si="91"/>
        <v>0.2</v>
      </c>
      <c r="N658" s="22">
        <f t="shared" si="92"/>
        <v>0.2521943324</v>
      </c>
      <c r="O658" s="22">
        <f t="shared" si="93"/>
        <v>0.6115861946</v>
      </c>
      <c r="P658" s="22">
        <f t="shared" si="9"/>
        <v>1.043495277</v>
      </c>
    </row>
    <row r="659">
      <c r="A659" s="18" t="s">
        <v>40</v>
      </c>
      <c r="B659" s="8" t="s">
        <v>94</v>
      </c>
      <c r="C659" s="8">
        <v>31.0</v>
      </c>
      <c r="D659" s="19">
        <v>0.96</v>
      </c>
      <c r="E659" s="8">
        <v>1.89</v>
      </c>
      <c r="F659" s="8">
        <v>0.005</v>
      </c>
      <c r="G659" s="21">
        <v>177.405480897999</v>
      </c>
      <c r="H659" s="22">
        <f t="shared" si="1"/>
        <v>0.389</v>
      </c>
      <c r="I659" s="22">
        <f t="shared" si="2"/>
        <v>2.570694087</v>
      </c>
      <c r="J659" s="22">
        <f t="shared" si="3"/>
        <v>0.5079365079</v>
      </c>
      <c r="K659" s="22">
        <f t="shared" si="4"/>
        <v>0.002863138756</v>
      </c>
      <c r="L659" s="22">
        <f t="shared" si="5"/>
        <v>1.08226645</v>
      </c>
      <c r="M659" s="22">
        <f t="shared" si="91"/>
        <v>0.2</v>
      </c>
      <c r="N659" s="22">
        <f t="shared" si="92"/>
        <v>0.28389188</v>
      </c>
      <c r="O659" s="22">
        <f t="shared" si="93"/>
        <v>0.5964869617</v>
      </c>
      <c r="P659" s="22">
        <f t="shared" si="9"/>
        <v>1.0699099</v>
      </c>
    </row>
    <row r="660">
      <c r="A660" s="18" t="s">
        <v>40</v>
      </c>
      <c r="B660" s="8" t="s">
        <v>94</v>
      </c>
      <c r="C660" s="8">
        <v>32.0</v>
      </c>
      <c r="D660" s="19">
        <v>0.96</v>
      </c>
      <c r="E660" s="8">
        <v>1.92</v>
      </c>
      <c r="F660" s="8">
        <v>0.005</v>
      </c>
      <c r="G660" s="21">
        <v>180.614497534</v>
      </c>
      <c r="H660" s="22">
        <f t="shared" si="1"/>
        <v>0.389</v>
      </c>
      <c r="I660" s="22">
        <f t="shared" si="2"/>
        <v>2.570694087</v>
      </c>
      <c r="J660" s="22">
        <f t="shared" si="3"/>
        <v>0.5</v>
      </c>
      <c r="K660" s="22">
        <f t="shared" si="4"/>
        <v>0.002768327055</v>
      </c>
      <c r="L660" s="22">
        <f t="shared" si="5"/>
        <v>1.063037589</v>
      </c>
      <c r="M660" s="22">
        <f t="shared" si="91"/>
        <v>0.2</v>
      </c>
      <c r="N660" s="22">
        <f t="shared" si="92"/>
        <v>0.3021437344</v>
      </c>
      <c r="O660" s="22">
        <f t="shared" si="93"/>
        <v>0.5881261388</v>
      </c>
      <c r="P660" s="22">
        <f t="shared" si="9"/>
        <v>1.085119779</v>
      </c>
    </row>
    <row r="661">
      <c r="A661" s="18" t="s">
        <v>40</v>
      </c>
      <c r="B661" s="8" t="s">
        <v>94</v>
      </c>
      <c r="C661" s="8">
        <v>33.0</v>
      </c>
      <c r="D661" s="19">
        <v>0.96</v>
      </c>
      <c r="E661" s="8">
        <v>1.51</v>
      </c>
      <c r="F661" s="8">
        <v>0.004</v>
      </c>
      <c r="G661" s="21">
        <v>143.730934581999</v>
      </c>
      <c r="H661" s="22">
        <f t="shared" si="1"/>
        <v>0.3112</v>
      </c>
      <c r="I661" s="22">
        <f t="shared" si="2"/>
        <v>3.213367609</v>
      </c>
      <c r="J661" s="22">
        <f t="shared" si="3"/>
        <v>0.6357615894</v>
      </c>
      <c r="K661" s="22">
        <f t="shared" si="4"/>
        <v>0.004423275972</v>
      </c>
      <c r="L661" s="22">
        <f t="shared" si="5"/>
        <v>1.66978668</v>
      </c>
      <c r="M661" s="22">
        <f t="shared" si="91"/>
        <v>0</v>
      </c>
      <c r="N661" s="22">
        <f t="shared" si="92"/>
        <v>0.09236189208</v>
      </c>
      <c r="O661" s="22">
        <f t="shared" si="93"/>
        <v>0.8412868726</v>
      </c>
      <c r="P661" s="22">
        <f t="shared" si="9"/>
        <v>1.092361892</v>
      </c>
    </row>
  </sheetData>
  <mergeCells count="13">
    <mergeCell ref="R62:U62"/>
    <mergeCell ref="V62:X62"/>
    <mergeCell ref="R70:U70"/>
    <mergeCell ref="AE90:AK90"/>
    <mergeCell ref="AE127:AK127"/>
    <mergeCell ref="AE164:AK164"/>
    <mergeCell ref="AE8:AG8"/>
    <mergeCell ref="AH8:AJ8"/>
    <mergeCell ref="AK8:AM8"/>
    <mergeCell ref="AN8:AP8"/>
    <mergeCell ref="AQ8:AS8"/>
    <mergeCell ref="AE17:AK17"/>
    <mergeCell ref="AE53:AK53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6" t="s">
        <v>29</v>
      </c>
      <c r="E1" s="56" t="s">
        <v>31</v>
      </c>
      <c r="H1" s="56" t="s">
        <v>38</v>
      </c>
      <c r="K1" s="56" t="s">
        <v>39</v>
      </c>
      <c r="N1" s="56" t="s">
        <v>40</v>
      </c>
    </row>
    <row r="2">
      <c r="A2" s="57" t="s">
        <v>1</v>
      </c>
      <c r="B2" s="57" t="s">
        <v>47</v>
      </c>
      <c r="C2" s="57" t="s">
        <v>48</v>
      </c>
      <c r="D2" s="57" t="s">
        <v>49</v>
      </c>
      <c r="E2" s="57" t="s">
        <v>47</v>
      </c>
      <c r="F2" s="57" t="s">
        <v>48</v>
      </c>
      <c r="G2" s="57" t="s">
        <v>49</v>
      </c>
      <c r="H2" s="57" t="s">
        <v>47</v>
      </c>
      <c r="I2" s="57" t="s">
        <v>48</v>
      </c>
      <c r="J2" s="57" t="s">
        <v>49</v>
      </c>
      <c r="K2" s="57" t="s">
        <v>47</v>
      </c>
      <c r="L2" s="57" t="s">
        <v>48</v>
      </c>
      <c r="M2" s="57" t="s">
        <v>49</v>
      </c>
      <c r="N2" s="57" t="s">
        <v>47</v>
      </c>
      <c r="O2" s="57" t="s">
        <v>48</v>
      </c>
      <c r="P2" s="57" t="s">
        <v>49</v>
      </c>
    </row>
    <row r="3">
      <c r="A3" s="8" t="s">
        <v>56</v>
      </c>
      <c r="B3" s="58">
        <v>0.3501</v>
      </c>
      <c r="C3" s="22">
        <v>2.892030848329049</v>
      </c>
      <c r="D3" s="22">
        <v>0.6779259259259258</v>
      </c>
      <c r="E3" s="58">
        <v>0.4279</v>
      </c>
      <c r="F3" s="22">
        <v>2.356469580119966</v>
      </c>
      <c r="G3" s="22">
        <v>1.2051470588235293</v>
      </c>
      <c r="H3" s="58">
        <v>0.389</v>
      </c>
      <c r="I3" s="22">
        <v>2.570694087403599</v>
      </c>
      <c r="J3" s="22">
        <v>0.6323507180650038</v>
      </c>
      <c r="K3" s="58">
        <v>0.4668</v>
      </c>
      <c r="L3" s="22">
        <v>2.1422450728363325</v>
      </c>
      <c r="M3" s="22">
        <v>1.1923076923076923</v>
      </c>
      <c r="N3" s="58">
        <v>0.389</v>
      </c>
      <c r="O3" s="22">
        <v>2.570694087403599</v>
      </c>
      <c r="P3" s="22">
        <v>1.4229249011857705</v>
      </c>
    </row>
    <row r="4">
      <c r="A4" s="8" t="s">
        <v>57</v>
      </c>
      <c r="B4" s="58">
        <v>0.3501</v>
      </c>
      <c r="C4" s="22">
        <v>2.892030848329049</v>
      </c>
      <c r="D4" s="22">
        <v>0.6075566274176005</v>
      </c>
      <c r="E4" s="58">
        <v>0.5057</v>
      </c>
      <c r="F4" s="22">
        <v>1.9892275676337374</v>
      </c>
      <c r="G4" s="22">
        <v>0.3906980382952923</v>
      </c>
      <c r="H4" s="58">
        <v>0.4668</v>
      </c>
      <c r="I4" s="22">
        <v>2.1422450728363325</v>
      </c>
      <c r="J4" s="22">
        <v>0.40185706131767773</v>
      </c>
      <c r="K4" s="58">
        <v>0.4668</v>
      </c>
      <c r="L4" s="22">
        <v>2.1422450728363325</v>
      </c>
      <c r="M4" s="22">
        <v>1.1709692746278113</v>
      </c>
      <c r="N4" s="58">
        <v>0.4668</v>
      </c>
      <c r="O4" s="22">
        <v>2.1422450728363325</v>
      </c>
      <c r="P4" s="22">
        <v>0.46056143580303727</v>
      </c>
    </row>
    <row r="5">
      <c r="A5" s="8" t="s">
        <v>58</v>
      </c>
      <c r="B5" s="58">
        <v>0.3501</v>
      </c>
      <c r="C5" s="22">
        <v>2.892030848329049</v>
      </c>
      <c r="D5" s="22">
        <v>0.5726116533569949</v>
      </c>
      <c r="E5" s="58">
        <v>0.389</v>
      </c>
      <c r="F5" s="22">
        <v>3.0603501040519037</v>
      </c>
      <c r="G5" s="22">
        <v>1.434782608695652</v>
      </c>
      <c r="H5" s="58">
        <v>0.5446</v>
      </c>
      <c r="I5" s="22">
        <v>1.8744644387317908</v>
      </c>
      <c r="J5" s="22">
        <v>0.35363327149041435</v>
      </c>
      <c r="K5" s="58">
        <v>0.3501</v>
      </c>
      <c r="L5" s="22">
        <v>2.892030848329049</v>
      </c>
      <c r="M5" s="22">
        <v>0.4571506035458318</v>
      </c>
      <c r="N5" s="58">
        <v>0.4668</v>
      </c>
      <c r="O5" s="22">
        <v>2.1422450728363325</v>
      </c>
      <c r="P5" s="22">
        <v>1.1567944250871078</v>
      </c>
    </row>
    <row r="6">
      <c r="A6" s="8" t="s">
        <v>65</v>
      </c>
      <c r="B6" s="58">
        <v>0.2334</v>
      </c>
      <c r="C6" s="22">
        <v>4.284490145672665</v>
      </c>
      <c r="D6" s="22">
        <v>0.6568627450980391</v>
      </c>
      <c r="E6" s="58">
        <v>0.31120000000000003</v>
      </c>
      <c r="F6" s="22">
        <v>3.427592116538132</v>
      </c>
      <c r="G6" s="22">
        <v>1.6866666666666665</v>
      </c>
      <c r="H6" s="58">
        <v>0.2723</v>
      </c>
      <c r="I6" s="22">
        <v>3.7489288774635816</v>
      </c>
      <c r="J6" s="22">
        <v>1.819357530246141</v>
      </c>
      <c r="K6" s="58">
        <v>0.4279</v>
      </c>
      <c r="L6" s="22">
        <v>2.5247888358428203</v>
      </c>
      <c r="M6" s="22">
        <v>1.2446808510638299</v>
      </c>
      <c r="N6" s="58">
        <v>0.3501</v>
      </c>
      <c r="O6" s="22">
        <v>2.892030848329049</v>
      </c>
      <c r="P6" s="22">
        <v>0.6002337358784573</v>
      </c>
    </row>
  </sheetData>
  <mergeCells count="5">
    <mergeCell ref="B1:D1"/>
    <mergeCell ref="E1:G1"/>
    <mergeCell ref="H1:J1"/>
    <mergeCell ref="K1:M1"/>
    <mergeCell ref="N1:P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9.63"/>
    <col customWidth="1" min="3" max="3" width="20.0"/>
    <col customWidth="1" min="7" max="7" width="15.63"/>
    <col customWidth="1" min="8" max="8" width="13.5"/>
  </cols>
  <sheetData>
    <row r="1">
      <c r="A1" s="59" t="s">
        <v>22</v>
      </c>
      <c r="B1" s="59" t="s">
        <v>73</v>
      </c>
      <c r="C1" s="59" t="s">
        <v>74</v>
      </c>
      <c r="D1" s="59" t="s">
        <v>75</v>
      </c>
      <c r="E1" s="59" t="s">
        <v>76</v>
      </c>
      <c r="F1" s="59" t="s">
        <v>77</v>
      </c>
      <c r="G1" s="59" t="s">
        <v>78</v>
      </c>
      <c r="H1" s="59" t="s">
        <v>79</v>
      </c>
    </row>
    <row r="2">
      <c r="A2" s="18" t="s">
        <v>29</v>
      </c>
      <c r="B2" s="22">
        <v>291.25</v>
      </c>
      <c r="C2" s="22">
        <v>446.6666666666667</v>
      </c>
      <c r="D2" s="22">
        <v>-33.333333333333336</v>
      </c>
      <c r="E2" s="22">
        <v>48.148148148148145</v>
      </c>
      <c r="F2" s="22">
        <v>7.659</v>
      </c>
      <c r="G2" s="22">
        <v>0.008844221105527638</v>
      </c>
      <c r="H2" s="22">
        <v>0.005979614949037372</v>
      </c>
    </row>
    <row r="3">
      <c r="A3" s="18" t="s">
        <v>31</v>
      </c>
      <c r="B3" s="22">
        <v>134.83333333333331</v>
      </c>
      <c r="C3" s="22">
        <v>141.66666666666669</v>
      </c>
      <c r="D3" s="22">
        <v>-27.272727272727263</v>
      </c>
      <c r="E3" s="22">
        <v>45.45454545454543</v>
      </c>
      <c r="F3" s="22">
        <v>-22.81879194630873</v>
      </c>
      <c r="G3" s="22">
        <v>0.010841889117043122</v>
      </c>
      <c r="H3" s="22">
        <v>0.00746817538896747</v>
      </c>
    </row>
    <row r="4">
      <c r="A4" s="18" t="s">
        <v>38</v>
      </c>
      <c r="B4" s="22">
        <v>282.0</v>
      </c>
      <c r="C4" s="22">
        <v>142.08333333333331</v>
      </c>
      <c r="D4" s="22">
        <v>-30.000000000000004</v>
      </c>
      <c r="E4" s="22">
        <v>45.83333333333332</v>
      </c>
      <c r="F4" s="22">
        <v>-65.2482269503546</v>
      </c>
      <c r="G4" s="22">
        <v>0.00994413407821229</v>
      </c>
      <c r="H4" s="22">
        <v>0.0068308282699072595</v>
      </c>
    </row>
    <row r="5">
      <c r="A5" s="18" t="s">
        <v>39</v>
      </c>
      <c r="B5" s="22">
        <v>130.0</v>
      </c>
      <c r="C5" s="22">
        <v>144.64285714285714</v>
      </c>
      <c r="D5" s="22">
        <v>-8.33333333333333</v>
      </c>
      <c r="E5" s="22">
        <v>17.857142857142854</v>
      </c>
      <c r="F5" s="22">
        <v>0.0</v>
      </c>
      <c r="G5" s="22">
        <v>0.011923076923076923</v>
      </c>
      <c r="H5" s="22">
        <v>0.010126385378183937</v>
      </c>
    </row>
    <row r="6">
      <c r="A6" s="18" t="s">
        <v>40</v>
      </c>
      <c r="B6" s="22">
        <v>135.0</v>
      </c>
      <c r="C6" s="22">
        <v>358.75</v>
      </c>
      <c r="D6" s="22">
        <v>-9.999999999999996</v>
      </c>
      <c r="E6" s="22">
        <v>12.499999999999996</v>
      </c>
      <c r="F6" s="22">
        <v>137.77777777777777</v>
      </c>
      <c r="G6" s="22">
        <v>0.009948186528497409</v>
      </c>
      <c r="H6" s="22">
        <v>0.008847926267281106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4.5"/>
    <col customWidth="1" min="4" max="4" width="25.88"/>
    <col customWidth="1" min="5" max="5" width="16.0"/>
    <col customWidth="1" min="6" max="6" width="14.25"/>
    <col customWidth="1" min="7" max="7" width="13.88"/>
    <col customWidth="1" min="8" max="8" width="15.0"/>
  </cols>
  <sheetData>
    <row r="1">
      <c r="A1" s="60" t="s">
        <v>22</v>
      </c>
      <c r="B1" s="61" t="s">
        <v>28</v>
      </c>
      <c r="D1" s="62"/>
      <c r="E1" s="62"/>
      <c r="F1" s="62"/>
      <c r="G1" s="62"/>
      <c r="H1" s="62"/>
    </row>
    <row r="2">
      <c r="A2" s="8" t="s">
        <v>29</v>
      </c>
      <c r="B2" s="63">
        <v>0.8731549815498154</v>
      </c>
      <c r="D2" s="64"/>
      <c r="E2" s="64"/>
      <c r="F2" s="64"/>
      <c r="G2" s="64"/>
      <c r="H2" s="64"/>
    </row>
    <row r="3">
      <c r="A3" s="8" t="s">
        <v>31</v>
      </c>
      <c r="B3" s="63">
        <v>0.7266400000000001</v>
      </c>
      <c r="D3" s="64"/>
      <c r="E3" s="64"/>
      <c r="F3" s="64"/>
      <c r="G3" s="64"/>
      <c r="H3" s="64"/>
    </row>
    <row r="4">
      <c r="A4" s="8" t="s">
        <v>38</v>
      </c>
      <c r="B4" s="63">
        <v>0.6172680412371134</v>
      </c>
      <c r="D4" s="64"/>
      <c r="E4" s="64"/>
      <c r="F4" s="64"/>
      <c r="G4" s="64"/>
      <c r="H4" s="64"/>
    </row>
    <row r="5">
      <c r="A5" s="8" t="s">
        <v>39</v>
      </c>
      <c r="B5" s="63">
        <v>0.9150268336314848</v>
      </c>
      <c r="D5" s="64"/>
      <c r="E5" s="64"/>
      <c r="F5" s="64"/>
      <c r="G5" s="64"/>
      <c r="H5" s="64"/>
    </row>
    <row r="6">
      <c r="A6" s="8" t="s">
        <v>40</v>
      </c>
      <c r="B6" s="63">
        <v>0.7580808080808081</v>
      </c>
      <c r="D6" s="64"/>
      <c r="E6" s="64"/>
      <c r="F6" s="64"/>
      <c r="G6" s="64"/>
      <c r="H6" s="64"/>
    </row>
    <row r="7">
      <c r="D7" s="64"/>
      <c r="E7" s="64"/>
      <c r="F7" s="64"/>
      <c r="G7" s="64"/>
      <c r="H7" s="64"/>
    </row>
    <row r="8">
      <c r="D8" s="64"/>
      <c r="E8" s="64"/>
      <c r="F8" s="64"/>
      <c r="G8" s="64"/>
      <c r="H8" s="64"/>
    </row>
    <row r="9">
      <c r="D9" s="64"/>
      <c r="E9" s="64"/>
      <c r="F9" s="64"/>
      <c r="G9" s="64"/>
      <c r="H9" s="64"/>
    </row>
    <row r="10">
      <c r="D10" s="64"/>
      <c r="E10" s="64"/>
      <c r="F10" s="64"/>
      <c r="G10" s="64"/>
      <c r="H10" s="64"/>
    </row>
    <row r="11">
      <c r="D11" s="64"/>
      <c r="E11" s="64"/>
      <c r="F11" s="64"/>
      <c r="G11" s="64"/>
      <c r="H11" s="64"/>
    </row>
    <row r="12">
      <c r="D12" s="64"/>
      <c r="E12" s="64"/>
      <c r="F12" s="64"/>
      <c r="G12" s="64"/>
      <c r="H12" s="64"/>
    </row>
    <row r="13">
      <c r="D13" s="64"/>
      <c r="E13" s="64"/>
      <c r="F13" s="64"/>
      <c r="G13" s="64"/>
      <c r="H13" s="64"/>
    </row>
    <row r="14">
      <c r="D14" s="64"/>
      <c r="E14" s="64"/>
      <c r="F14" s="64"/>
      <c r="G14" s="64"/>
      <c r="H14" s="64"/>
    </row>
    <row r="15">
      <c r="D15" s="64"/>
      <c r="E15" s="64"/>
      <c r="F15" s="64"/>
      <c r="G15" s="64"/>
      <c r="H15" s="64"/>
    </row>
    <row r="16">
      <c r="D16" s="64"/>
      <c r="E16" s="64"/>
      <c r="F16" s="64"/>
      <c r="G16" s="64"/>
      <c r="H16" s="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</cols>
  <sheetData>
    <row r="1">
      <c r="A1" s="65" t="s">
        <v>22</v>
      </c>
      <c r="B1" s="66" t="s">
        <v>10</v>
      </c>
      <c r="C1" s="66" t="s">
        <v>11</v>
      </c>
    </row>
    <row r="2">
      <c r="A2" s="8" t="s">
        <v>29</v>
      </c>
      <c r="B2" s="67">
        <v>0.006371461399712213</v>
      </c>
      <c r="C2" s="23">
        <v>2.4592879170886484</v>
      </c>
    </row>
    <row r="3">
      <c r="A3" s="8" t="s">
        <v>31</v>
      </c>
      <c r="B3" s="67">
        <v>0.012172600922199243</v>
      </c>
      <c r="C3" s="23">
        <v>1.651900170009379</v>
      </c>
    </row>
    <row r="4">
      <c r="A4" s="8" t="s">
        <v>38</v>
      </c>
      <c r="B4" s="67">
        <v>0.010699587955792001</v>
      </c>
      <c r="C4" s="23">
        <v>1.8133768102389565</v>
      </c>
    </row>
    <row r="5">
      <c r="A5" s="8" t="s">
        <v>39</v>
      </c>
      <c r="B5" s="67">
        <v>0.005605341586936275</v>
      </c>
      <c r="C5" s="23">
        <v>0.7831187620263519</v>
      </c>
    </row>
    <row r="6">
      <c r="A6" s="8" t="s">
        <v>40</v>
      </c>
      <c r="B6" s="67">
        <v>0.005812308792109061</v>
      </c>
      <c r="C6" s="23">
        <v>1.2239772647913227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4.38"/>
  </cols>
  <sheetData>
    <row r="1">
      <c r="A1" s="68" t="s">
        <v>22</v>
      </c>
      <c r="B1" s="69" t="s">
        <v>72</v>
      </c>
    </row>
    <row r="2">
      <c r="A2" s="8" t="s">
        <v>29</v>
      </c>
      <c r="B2" s="8">
        <v>0.5599366677536145</v>
      </c>
    </row>
    <row r="3">
      <c r="A3" s="8" t="s">
        <v>31</v>
      </c>
      <c r="B3" s="8">
        <v>0.508260500124724</v>
      </c>
    </row>
    <row r="4">
      <c r="A4" s="8" t="s">
        <v>38</v>
      </c>
      <c r="B4" s="8">
        <v>0.6448569270077236</v>
      </c>
    </row>
    <row r="5">
      <c r="A5" s="8" t="s">
        <v>39</v>
      </c>
      <c r="B5" s="8">
        <v>0.48267970669334714</v>
      </c>
    </row>
    <row r="6">
      <c r="A6" s="8" t="s">
        <v>40</v>
      </c>
      <c r="B6" s="8">
        <v>0.699984603769477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B1" s="70" t="s">
        <v>90</v>
      </c>
      <c r="E1" s="70" t="s">
        <v>91</v>
      </c>
    </row>
    <row r="2">
      <c r="A2" s="71" t="s">
        <v>22</v>
      </c>
      <c r="B2" s="71" t="s">
        <v>81</v>
      </c>
      <c r="C2" s="71" t="s">
        <v>82</v>
      </c>
      <c r="D2" s="71" t="s">
        <v>83</v>
      </c>
      <c r="E2" s="71" t="s">
        <v>84</v>
      </c>
      <c r="F2" s="71" t="s">
        <v>85</v>
      </c>
      <c r="G2" s="71" t="s">
        <v>86</v>
      </c>
    </row>
    <row r="3">
      <c r="A3" s="8" t="s">
        <v>29</v>
      </c>
      <c r="B3" s="22">
        <v>0.9351179985095592</v>
      </c>
      <c r="C3" s="22">
        <v>0.9489960004968374</v>
      </c>
      <c r="D3" s="22">
        <v>0.9576585489042854</v>
      </c>
      <c r="E3" s="22">
        <v>0.9639410269389846</v>
      </c>
      <c r="F3" s="22">
        <v>0.968846060420504</v>
      </c>
      <c r="G3" s="22">
        <v>0.9728511529106634</v>
      </c>
    </row>
    <row r="4">
      <c r="A4" s="8" t="s">
        <v>31</v>
      </c>
      <c r="B4" s="22">
        <v>0.9129611354070846</v>
      </c>
      <c r="C4" s="22">
        <v>0.9210136638023403</v>
      </c>
      <c r="D4" s="22">
        <v>0.9259913359271235</v>
      </c>
      <c r="E4" s="22">
        <v>0.9295782574611191</v>
      </c>
      <c r="F4" s="22">
        <v>0.9323653426198961</v>
      </c>
      <c r="G4" s="22">
        <v>0.9346324158042107</v>
      </c>
    </row>
    <row r="5">
      <c r="A5" s="8" t="s">
        <v>38</v>
      </c>
      <c r="B5" s="22">
        <v>0.9189267422443061</v>
      </c>
      <c r="C5" s="22">
        <v>0.9259645873461346</v>
      </c>
      <c r="D5" s="22">
        <v>0.9303094542264534</v>
      </c>
      <c r="E5" s="22">
        <v>0.9334377544813868</v>
      </c>
      <c r="F5" s="22">
        <v>0.9358669781218536</v>
      </c>
      <c r="G5" s="22">
        <v>0.9378419916292879</v>
      </c>
    </row>
    <row r="6">
      <c r="A6" s="8" t="s">
        <v>39</v>
      </c>
      <c r="B6" s="22">
        <v>0.9465160556487258</v>
      </c>
      <c r="C6" s="22">
        <v>0.9504816231087847</v>
      </c>
      <c r="D6" s="22">
        <v>0.952919659326556</v>
      </c>
      <c r="E6" s="22">
        <v>0.9546702802012719</v>
      </c>
      <c r="F6" s="22">
        <v>0.956026953074116</v>
      </c>
      <c r="G6" s="22">
        <v>0.9571281991163643</v>
      </c>
    </row>
    <row r="7">
      <c r="A7" s="8" t="s">
        <v>40</v>
      </c>
      <c r="B7" s="22">
        <v>0.9996754199615523</v>
      </c>
      <c r="C7" s="22">
        <v>1.0094264099982588</v>
      </c>
      <c r="D7" s="22">
        <v>1.0154656190666664</v>
      </c>
      <c r="E7" s="22">
        <v>1.0198230334777332</v>
      </c>
      <c r="F7" s="22">
        <v>1.0232120242566678</v>
      </c>
      <c r="G7" s="22">
        <v>1.0259707858311988</v>
      </c>
    </row>
  </sheetData>
  <mergeCells count="2">
    <mergeCell ref="B1:D1"/>
    <mergeCell ref="E1:G1"/>
  </mergeCells>
  <drawing r:id="rId1"/>
</worksheet>
</file>